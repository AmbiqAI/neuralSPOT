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an\Desktop\ambiqsuite\tools\syspll-cfg\"/>
    </mc:Choice>
  </mc:AlternateContent>
  <xr:revisionPtr revIDLastSave="0" documentId="13_ncr:1_{38B99863-3F7E-4CDE-B05D-73D85C8CC5E6}" xr6:coauthVersionLast="47" xr6:coauthVersionMax="47" xr10:uidLastSave="{00000000-0000-0000-0000-000000000000}"/>
  <bookViews>
    <workbookView xWindow="3800" yWindow="3800" windowWidth="28800" windowHeight="15370" xr2:uid="{00000000-000D-0000-FFFF-FFFF00000000}"/>
  </bookViews>
  <sheets>
    <sheet name="PLL config calculator" sheetId="2" r:id="rId1"/>
  </sheets>
  <definedNames>
    <definedName name="FBDIV" localSheetId="0">'PLL config calculator'!$K$19</definedName>
    <definedName name="FBDIV_FINAL" localSheetId="0">'PLL config calculator'!$K$21</definedName>
    <definedName name="FRAC" localSheetId="0">'PLL config calculator'!$K$20</definedName>
    <definedName name="FREF" localSheetId="0">'PLL config calculator'!$K$6</definedName>
    <definedName name="POSTDIV1" localSheetId="0">'PLL config calculator'!$K$11</definedName>
    <definedName name="POSTDIV2" localSheetId="0">'PLL config calculator'!$K$12</definedName>
    <definedName name="REFDIV" localSheetId="0">'PLL config calculator'!$K$17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5" i="2" l="1"/>
  <c r="J37" i="2" s="1"/>
  <c r="B45" i="2"/>
  <c r="B46" i="2"/>
  <c r="B44" i="2"/>
  <c r="C39" i="2"/>
  <c r="C46" i="2" s="1"/>
  <c r="C23" i="2"/>
  <c r="C24" i="2" s="1"/>
  <c r="C45" i="2" s="1"/>
  <c r="C15" i="2"/>
  <c r="C16" i="2" s="1"/>
  <c r="C44" i="2" s="1"/>
  <c r="J40" i="2"/>
  <c r="J39" i="2"/>
  <c r="J38" i="2"/>
  <c r="J35" i="2"/>
  <c r="J34" i="2"/>
  <c r="N23" i="2"/>
  <c r="I17" i="2"/>
  <c r="K17" i="2"/>
  <c r="K12" i="2"/>
  <c r="K11" i="2"/>
  <c r="C48" i="2" l="1"/>
  <c r="C50" i="2"/>
  <c r="D50" i="2" s="1"/>
  <c r="C51" i="2"/>
  <c r="D51" i="2" s="1"/>
  <c r="C49" i="2"/>
  <c r="D49" i="2" s="1"/>
  <c r="F20" i="2" l="1"/>
  <c r="G10" i="2" l="1"/>
  <c r="G13" i="2" s="1"/>
  <c r="M7" i="2" s="1"/>
  <c r="G9" i="2" l="1"/>
  <c r="K10" i="2"/>
  <c r="K29" i="2" s="1"/>
  <c r="G18" i="2" s="1"/>
  <c r="J36" i="2" s="1"/>
  <c r="G8" i="2"/>
  <c r="P24" i="2" l="1"/>
  <c r="G29" i="2"/>
  <c r="K6" i="2"/>
  <c r="G30" i="2" s="1"/>
  <c r="G31" i="2" s="1"/>
  <c r="G16" i="2" s="1"/>
  <c r="K19" i="2" s="1"/>
  <c r="K18" i="2"/>
  <c r="P23" i="2" l="1"/>
  <c r="G32" i="2"/>
  <c r="G17" i="2" s="1"/>
  <c r="K20" i="2" s="1"/>
  <c r="K21" i="2" s="1"/>
  <c r="K13" i="2" s="1"/>
  <c r="K15" i="2" s="1"/>
  <c r="G23" i="2" s="1"/>
  <c r="G24" i="2" s="1"/>
  <c r="J41" i="2"/>
  <c r="J42" i="2" l="1"/>
  <c r="F34" i="2" s="1"/>
</calcChain>
</file>

<file path=xl/sharedStrings.xml><?xml version="1.0" encoding="utf-8"?>
<sst xmlns="http://schemas.openxmlformats.org/spreadsheetml/2006/main" count="98" uniqueCount="75">
  <si>
    <t>Change Values in blue boxes</t>
  </si>
  <si>
    <t>Get Calculated values in Green Boxes</t>
  </si>
  <si>
    <t>I2S USE PLL</t>
  </si>
  <si>
    <t>FOUTPOSTDIV Calculator</t>
  </si>
  <si>
    <t>Recommended Usage Flow</t>
  </si>
  <si>
    <t>PDM USE PLL</t>
  </si>
  <si>
    <t>FREF</t>
  </si>
  <si>
    <t>MHz</t>
  </si>
  <si>
    <t>1~800 (Integer Mode)
10~800 (Fractional Mode)</t>
  </si>
  <si>
    <t>PLL Input Clock</t>
  </si>
  <si>
    <t>AUDADC USE PLL</t>
  </si>
  <si>
    <t>Hz</t>
  </si>
  <si>
    <t>Target FOUT3</t>
  </si>
  <si>
    <t>for I2S</t>
  </si>
  <si>
    <t>FOUT3 = FOUTPOSTDIV / 6</t>
  </si>
  <si>
    <t>I2S Configuration</t>
  </si>
  <si>
    <t>Target FOUT4</t>
  </si>
  <si>
    <t>FOUT4 = FOUTPOSTDIV / 8</t>
  </si>
  <si>
    <t>Sample rates</t>
  </si>
  <si>
    <t>Target FPOSTDIV</t>
  </si>
  <si>
    <t>for PDM, USB, AUDADC</t>
  </si>
  <si>
    <t>FPOSTDIV = FVCO / POSTDIV1 / POSTDIV2</t>
  </si>
  <si>
    <t>Number of channels</t>
  </si>
  <si>
    <t>POSTDIV1</t>
  </si>
  <si>
    <t>1~7</t>
  </si>
  <si>
    <t>POSTDIV1 &gt;= POSTDIV2</t>
  </si>
  <si>
    <t>Word width</t>
  </si>
  <si>
    <t>bits</t>
  </si>
  <si>
    <t>POSTDIV2</t>
  </si>
  <si>
    <t>PLL out selection</t>
  </si>
  <si>
    <t>FOUT4</t>
  </si>
  <si>
    <t>Traget FVCO</t>
  </si>
  <si>
    <t>60~960</t>
  </si>
  <si>
    <t>Enable DIV3 clock divider</t>
  </si>
  <si>
    <t>REFDIV</t>
  </si>
  <si>
    <t>1~63</t>
  </si>
  <si>
    <t>SCLK frequency</t>
  </si>
  <si>
    <t>DSMPD</t>
  </si>
  <si>
    <t xml:space="preserve">0:Fractional Mode
1: Integer Mode </t>
  </si>
  <si>
    <t>Expected FOUTPOSTDIV</t>
  </si>
  <si>
    <t>FBDIV</t>
  </si>
  <si>
    <t>4~960 (Integer Mode)
10~96 (Fractional Mode)</t>
  </si>
  <si>
    <t>FRAC</t>
  </si>
  <si>
    <t>PDM Configuration</t>
  </si>
  <si>
    <t>VCOSELECT</t>
  </si>
  <si>
    <t>0: VCO Low Freq (60~240MHz)
1: VCO High Freq (240~960MHz)</t>
  </si>
  <si>
    <t>eClkDivider</t>
  </si>
  <si>
    <t>ePDMAClkOutDivder</t>
  </si>
  <si>
    <t>DecimationRate</t>
  </si>
  <si>
    <t>PDM OUT clock frequency</t>
  </si>
  <si>
    <t>FOUTPOSTDIV</t>
  </si>
  <si>
    <t>PLLDIV1 Dec</t>
  </si>
  <si>
    <t>PLLCTL0 Dec</t>
  </si>
  <si>
    <t>FBDIV Fraction Val Calculator</t>
  </si>
  <si>
    <t>Target pre DIV</t>
  </si>
  <si>
    <t>Target Ratio</t>
  </si>
  <si>
    <t>Target FBDIV</t>
  </si>
  <si>
    <t>Hint: Change REFDIV Till Target FBDIV is in valid range</t>
  </si>
  <si>
    <t>Target FBDIV Frac</t>
  </si>
  <si>
    <t>Config Initializer</t>
  </si>
  <si>
    <t>AUDADC Configuration</t>
  </si>
  <si>
    <t>eClkDiv</t>
  </si>
  <si>
    <t>IrttCountMax</t>
  </si>
  <si>
    <t>Averaging</t>
  </si>
  <si>
    <t>use pll</t>
  </si>
  <si>
    <t>clk is num</t>
  </si>
  <si>
    <t>}</t>
  </si>
  <si>
    <t>i2s clock 1nvalid</t>
  </si>
  <si>
    <t>one peri uses pll</t>
  </si>
  <si>
    <t>The expected FOUTPOSTDIV value from I2S and PDM are not equal.</t>
  </si>
  <si>
    <t>two peris use pll</t>
  </si>
  <si>
    <t>The expected FOUTPOSTDIV value from I2S and AUDADC are not equal.</t>
  </si>
  <si>
    <t>three peris use pll</t>
  </si>
  <si>
    <t>The expected FOUTPOSTDIV value from PDM and AUDADC are not equal.</t>
  </si>
  <si>
    <r>
      <t xml:space="preserve">1. Set FREF (G6) according to the frequency of XTAL.
2. Mark the peripherals that will use the PLL in cells (C5:C7).
3. Fill out I2S, PDM, and AUDADC configurations based on the application.
4. Make sure target FPOSTDIV (G10) is a valid number, otherwise change the peripheral configuration.
5. Lowest FVCO tunning: adjust POSTDIV1 (G11) and POSTDIV2 (G12) so that FVCO (G13) is </t>
    </r>
    <r>
      <rPr>
        <b/>
        <sz val="11"/>
        <color rgb="FF000000"/>
        <rFont val="Calibri"/>
        <family val="2"/>
        <scheme val="minor"/>
      </rPr>
      <t>just greater</t>
    </r>
    <r>
      <rPr>
        <sz val="11"/>
        <color rgb="FF000000"/>
        <rFont val="Calibri"/>
        <family val="2"/>
        <scheme val="minor"/>
      </rPr>
      <t xml:space="preserve"> than 60 (smallest possible value above 60). If "FBDIV too small" appears, ignore it in this step.
6. Adjust REFDIV (G15) to make FBDIV (G16) meet the requirement (4~960 in integer mode, 10~96 in fractional mode). The smaller the value of FBDIV, the faster the PLL locks.  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</si>
</sst>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AM_HAL_PDM_MCLKDIV_&quot;0"/>
    <numFmt numFmtId="165" formatCode="&quot;AM_HAL_PDM_PDMA_CLKO_DIV&quot;0"/>
    <numFmt numFmtId="166" formatCode="&quot;AM_HAL_AUDADC_RPTT_CLK_DIV&quot;0"/>
    <numFmt numFmtId="167" formatCode="&quot;AM_HAL_AUDADC_SLOT_AVG_&quot;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1"/>
      <color theme="2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/>
    <xf numFmtId="0" fontId="1" fillId="3" borderId="1" xfId="0" applyFont="1" applyFill="1" applyBorder="1"/>
    <xf numFmtId="0" fontId="0" fillId="0" borderId="0" xfId="0" applyAlignment="1">
      <alignment wrapText="1"/>
    </xf>
    <xf numFmtId="0" fontId="3" fillId="0" borderId="0" xfId="0" applyFont="1"/>
    <xf numFmtId="0" fontId="0" fillId="5" borderId="0" xfId="0" applyFill="1"/>
    <xf numFmtId="0" fontId="5" fillId="5" borderId="0" xfId="0" applyFont="1" applyFill="1"/>
    <xf numFmtId="0" fontId="1" fillId="4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0" fillId="4" borderId="0" xfId="0" applyFill="1"/>
    <xf numFmtId="0" fontId="2" fillId="4" borderId="0" xfId="0" applyFont="1" applyFill="1"/>
    <xf numFmtId="0" fontId="1" fillId="4" borderId="0" xfId="0" applyFont="1" applyFill="1" applyAlignment="1">
      <alignment horizontal="center" vertical="center"/>
    </xf>
    <xf numFmtId="0" fontId="6" fillId="0" borderId="0" xfId="0" applyFont="1"/>
    <xf numFmtId="0" fontId="2" fillId="0" borderId="0" xfId="0" applyFont="1" applyAlignment="1">
      <alignment horizontal="center"/>
    </xf>
    <xf numFmtId="0" fontId="0" fillId="3" borderId="1" xfId="0" applyFill="1" applyBorder="1"/>
    <xf numFmtId="0" fontId="1" fillId="0" borderId="0" xfId="0" applyFont="1"/>
    <xf numFmtId="0" fontId="0" fillId="3" borderId="1" xfId="0" applyFill="1" applyBorder="1" applyAlignment="1">
      <alignment horizontal="right"/>
    </xf>
    <xf numFmtId="0" fontId="4" fillId="6" borderId="0" xfId="0" applyFont="1" applyFill="1"/>
    <xf numFmtId="0" fontId="0" fillId="2" borderId="1" xfId="0" applyFill="1" applyBorder="1" applyProtection="1">
      <protection locked="0"/>
    </xf>
    <xf numFmtId="0" fontId="1" fillId="2" borderId="1" xfId="0" applyFont="1" applyFill="1" applyBorder="1" applyProtection="1">
      <protection locked="0"/>
    </xf>
    <xf numFmtId="0" fontId="0" fillId="2" borderId="1" xfId="0" applyFill="1" applyBorder="1" applyAlignment="1" applyProtection="1">
      <alignment horizontal="right"/>
      <protection locked="0"/>
    </xf>
    <xf numFmtId="166" fontId="0" fillId="2" borderId="1" xfId="0" applyNumberFormat="1" applyFill="1" applyBorder="1" applyProtection="1">
      <protection locked="0"/>
    </xf>
    <xf numFmtId="167" fontId="0" fillId="2" borderId="1" xfId="0" applyNumberFormat="1" applyFill="1" applyBorder="1" applyProtection="1">
      <protection locked="0"/>
    </xf>
    <xf numFmtId="164" fontId="0" fillId="2" borderId="1" xfId="0" applyNumberFormat="1" applyFill="1" applyBorder="1" applyProtection="1">
      <protection locked="0"/>
    </xf>
    <xf numFmtId="165" fontId="0" fillId="2" borderId="1" xfId="0" applyNumberFormat="1" applyFill="1" applyBorder="1" applyProtection="1">
      <protection locked="0"/>
    </xf>
    <xf numFmtId="0" fontId="7" fillId="0" borderId="0" xfId="0" applyFont="1" applyAlignment="1">
      <alignment horizontal="left" vertical="top" wrapText="1"/>
    </xf>
    <xf numFmtId="0" fontId="0" fillId="0" borderId="0" xfId="0" applyAlignment="1">
      <alignment horizontal="left" vertical="top"/>
    </xf>
    <xf numFmtId="0" fontId="2" fillId="0" borderId="0" xfId="0" applyFont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 applyAlignment="1">
      <alignment horizontal="left" vertical="top" wrapText="1"/>
    </xf>
    <xf numFmtId="0" fontId="1" fillId="4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CC0000"/>
      </font>
      <fill>
        <patternFill>
          <bgColor rgb="FFFF9999"/>
        </patternFill>
      </fill>
    </dxf>
    <dxf>
      <font>
        <color rgb="FFCC0000"/>
      </font>
      <fill>
        <patternFill>
          <bgColor rgb="FFFF9999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color theme="0" tint="-0.14996795556505021"/>
      </font>
      <fill>
        <patternFill patternType="none">
          <bgColor auto="1"/>
        </patternFill>
      </fill>
    </dxf>
    <dxf>
      <font>
        <color theme="0" tint="-0.14996795556505021"/>
      </font>
      <fill>
        <patternFill patternType="none">
          <bgColor auto="1"/>
        </patternFill>
      </fill>
    </dxf>
    <dxf>
      <font>
        <color theme="0" tint="-0.14996795556505021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B9B9"/>
      <color rgb="FFFFCCCC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6B918-C33D-4CEE-8CC3-FA3A11072D11}">
  <dimension ref="A2:Q52"/>
  <sheetViews>
    <sheetView tabSelected="1" topLeftCell="A4" workbookViewId="0"/>
  </sheetViews>
  <sheetFormatPr defaultRowHeight="14.5" x14ac:dyDescent="0.35"/>
  <cols>
    <col min="2" max="2" width="23.54296875" customWidth="1"/>
    <col min="3" max="3" width="33.54296875" customWidth="1"/>
    <col min="6" max="6" width="16.453125" bestFit="1" customWidth="1"/>
    <col min="7" max="7" width="10" bestFit="1" customWidth="1"/>
    <col min="9" max="9" width="24.26953125" customWidth="1"/>
    <col min="10" max="10" width="38.54296875" bestFit="1" customWidth="1"/>
    <col min="15" max="15" width="47.7265625" customWidth="1"/>
  </cols>
  <sheetData>
    <row r="2" spans="2:17" x14ac:dyDescent="0.35">
      <c r="B2" s="33" t="s">
        <v>0</v>
      </c>
      <c r="C2" s="33"/>
      <c r="D2" s="33"/>
      <c r="E2" s="33"/>
      <c r="F2" s="33"/>
      <c r="G2" s="33"/>
      <c r="H2" s="33"/>
      <c r="I2" s="33"/>
      <c r="J2" s="8"/>
    </row>
    <row r="3" spans="2:17" x14ac:dyDescent="0.35">
      <c r="B3" s="32" t="s">
        <v>1</v>
      </c>
      <c r="C3" s="32"/>
      <c r="D3" s="32"/>
      <c r="E3" s="32"/>
      <c r="F3" s="32"/>
      <c r="G3" s="32"/>
      <c r="H3" s="32"/>
      <c r="I3" s="32"/>
      <c r="J3" s="9"/>
    </row>
    <row r="4" spans="2:17" x14ac:dyDescent="0.35">
      <c r="O4" s="4"/>
      <c r="P4" s="4"/>
      <c r="Q4" s="4"/>
    </row>
    <row r="5" spans="2:17" x14ac:dyDescent="0.35">
      <c r="B5" t="s">
        <v>2</v>
      </c>
      <c r="C5" s="19" t="b">
        <v>1</v>
      </c>
      <c r="F5" s="31" t="s">
        <v>3</v>
      </c>
      <c r="G5" s="31"/>
      <c r="H5" s="31"/>
      <c r="I5" s="31"/>
      <c r="J5" s="31"/>
      <c r="K5" s="16"/>
      <c r="L5" s="16"/>
      <c r="M5" s="16"/>
      <c r="O5" s="7" t="s">
        <v>4</v>
      </c>
    </row>
    <row r="6" spans="2:17" ht="29" x14ac:dyDescent="0.35">
      <c r="B6" t="s">
        <v>5</v>
      </c>
      <c r="C6" s="19" t="b">
        <v>1</v>
      </c>
      <c r="F6" t="s">
        <v>6</v>
      </c>
      <c r="G6" s="20">
        <v>24</v>
      </c>
      <c r="H6" t="s">
        <v>7</v>
      </c>
      <c r="I6" s="3" t="s">
        <v>8</v>
      </c>
      <c r="J6" t="s">
        <v>9</v>
      </c>
      <c r="K6" s="28">
        <f>IF(G15=0, IF(G6&lt;10,"Invalid! FREF must be &gt;=10MHz",IF(G6&gt;800,"Invalid! FREF must be &lt;=800MHz",G6*1000000)),IF(G6&lt;1,"Invalid! FREF must be &gt;=1MHz",IF(G6&gt;800,"Invalid! FREF must be &lt;=800MHz",G6*1000000)))</f>
        <v>24000000</v>
      </c>
      <c r="L6" s="28"/>
      <c r="M6" s="28"/>
      <c r="N6" s="28"/>
      <c r="O6" s="26" t="s">
        <v>74</v>
      </c>
    </row>
    <row r="7" spans="2:17" x14ac:dyDescent="0.35">
      <c r="B7" t="s">
        <v>10</v>
      </c>
      <c r="C7" s="19" t="b">
        <v>1</v>
      </c>
      <c r="L7" s="1" t="s">
        <v>11</v>
      </c>
      <c r="M7" s="1">
        <f>G6/G13</f>
        <v>0.244140625</v>
      </c>
      <c r="O7" s="27"/>
    </row>
    <row r="8" spans="2:17" x14ac:dyDescent="0.35">
      <c r="F8" t="s">
        <v>12</v>
      </c>
      <c r="G8" s="2">
        <f>G10/6</f>
        <v>4.0960000000000001</v>
      </c>
      <c r="H8" t="s">
        <v>7</v>
      </c>
      <c r="I8" t="s">
        <v>13</v>
      </c>
      <c r="J8" t="s">
        <v>14</v>
      </c>
      <c r="K8" s="1"/>
      <c r="L8" s="1"/>
      <c r="M8" s="1"/>
      <c r="O8" s="27"/>
    </row>
    <row r="9" spans="2:17" x14ac:dyDescent="0.35">
      <c r="B9" s="31" t="s">
        <v>15</v>
      </c>
      <c r="C9" s="31"/>
      <c r="D9" s="31"/>
      <c r="F9" t="s">
        <v>16</v>
      </c>
      <c r="G9" s="2">
        <f>G10/8</f>
        <v>3.0720000000000001</v>
      </c>
      <c r="H9" t="s">
        <v>7</v>
      </c>
      <c r="I9" t="s">
        <v>13</v>
      </c>
      <c r="J9" t="s">
        <v>17</v>
      </c>
      <c r="K9" s="1"/>
      <c r="L9" s="1"/>
      <c r="M9" s="1"/>
      <c r="O9" s="27"/>
    </row>
    <row r="10" spans="2:17" x14ac:dyDescent="0.35">
      <c r="B10" t="s">
        <v>18</v>
      </c>
      <c r="C10" s="19">
        <v>32000</v>
      </c>
      <c r="D10" t="s">
        <v>11</v>
      </c>
      <c r="F10" t="s">
        <v>19</v>
      </c>
      <c r="G10" s="2">
        <f>IF(ISNUMBER(F20),F20,"Invalid value")</f>
        <v>24.576000000000001</v>
      </c>
      <c r="H10" t="s">
        <v>7</v>
      </c>
      <c r="I10" t="s">
        <v>20</v>
      </c>
      <c r="J10" t="s">
        <v>21</v>
      </c>
      <c r="K10" s="1">
        <f>G10*1000000</f>
        <v>24576000</v>
      </c>
      <c r="L10" s="1" t="s">
        <v>11</v>
      </c>
      <c r="M10" s="1"/>
      <c r="O10" s="27"/>
    </row>
    <row r="11" spans="2:17" x14ac:dyDescent="0.35">
      <c r="B11" t="s">
        <v>22</v>
      </c>
      <c r="C11" s="19">
        <v>4</v>
      </c>
      <c r="F11" t="s">
        <v>23</v>
      </c>
      <c r="G11" s="20">
        <v>2</v>
      </c>
      <c r="I11" t="s">
        <v>24</v>
      </c>
      <c r="J11" s="27" t="s">
        <v>25</v>
      </c>
      <c r="K11" s="28">
        <f>IF(G11&lt;1, "Invalid! POSTDIV must be  &gt; 0", IF(G11&gt;7,"Invalid! POSTDIV must be &lt;=7", G11))</f>
        <v>2</v>
      </c>
      <c r="L11" s="28"/>
      <c r="M11" s="28"/>
      <c r="N11" s="28"/>
      <c r="O11" s="27"/>
    </row>
    <row r="12" spans="2:17" x14ac:dyDescent="0.35">
      <c r="B12" t="s">
        <v>26</v>
      </c>
      <c r="C12" s="19">
        <v>24</v>
      </c>
      <c r="D12" t="s">
        <v>27</v>
      </c>
      <c r="F12" t="s">
        <v>28</v>
      </c>
      <c r="G12" s="20">
        <v>2</v>
      </c>
      <c r="I12" t="s">
        <v>24</v>
      </c>
      <c r="J12" s="27"/>
      <c r="K12" s="28">
        <f>IF(G12&lt;1,"Invalid! POSTDIV must be &gt;0",IF(G12&gt;7,"Invalid! POSTDIV must be &lt;=7",IF(G12&gt;G11,"Invalid! POSTDIV1 must be &gt;= POSTDIV2",G12)))</f>
        <v>2</v>
      </c>
      <c r="L12" s="28"/>
      <c r="M12" s="28"/>
      <c r="N12" s="28"/>
      <c r="O12" s="27"/>
    </row>
    <row r="13" spans="2:17" x14ac:dyDescent="0.35">
      <c r="B13" t="s">
        <v>29</v>
      </c>
      <c r="C13" s="21" t="s">
        <v>30</v>
      </c>
      <c r="F13" t="s">
        <v>31</v>
      </c>
      <c r="G13" s="2">
        <f>G10*G11*G12</f>
        <v>98.304000000000002</v>
      </c>
      <c r="H13" t="s">
        <v>7</v>
      </c>
      <c r="I13" t="s">
        <v>32</v>
      </c>
      <c r="K13" s="1">
        <f>G6/G14*FBDIV_FINAL</f>
        <v>98.303999900817871</v>
      </c>
      <c r="L13" s="1"/>
      <c r="M13" s="1"/>
      <c r="O13" s="27"/>
    </row>
    <row r="14" spans="2:17" x14ac:dyDescent="0.35">
      <c r="B14" t="s">
        <v>33</v>
      </c>
      <c r="C14" s="21" t="b">
        <v>0</v>
      </c>
      <c r="F14" t="s">
        <v>34</v>
      </c>
      <c r="G14" s="20">
        <v>3</v>
      </c>
      <c r="I14" t="s">
        <v>35</v>
      </c>
      <c r="K14" s="1"/>
      <c r="L14" s="1"/>
      <c r="M14" s="1"/>
      <c r="O14" s="27"/>
    </row>
    <row r="15" spans="2:17" ht="29" x14ac:dyDescent="0.35">
      <c r="B15" t="s">
        <v>36</v>
      </c>
      <c r="C15" s="15">
        <f>IF((C10*C11*C12/1000000)&gt;12.288, "Invalid! sample_rate * nbChannels * word_width exceeds 12.288 MHz", (C10*C11*C12/1000000))</f>
        <v>3.0720000000000001</v>
      </c>
      <c r="D15" t="s">
        <v>7</v>
      </c>
      <c r="F15" t="s">
        <v>37</v>
      </c>
      <c r="G15" s="2">
        <f>IF(MOD(G10/(G6/G14/G11/G12),1)=0,1,0)</f>
        <v>0</v>
      </c>
      <c r="J15" s="3" t="s">
        <v>38</v>
      </c>
      <c r="K15" s="28">
        <f>IF(K13&lt;60,"Invalid! FVCO must be &gt;=60MHz",IF(K13&gt;960,"Invalid! FVCO must be &lt;=960MHz",REFDIV))</f>
        <v>3</v>
      </c>
      <c r="L15" s="28"/>
      <c r="M15" s="28"/>
      <c r="N15" s="28"/>
      <c r="O15" s="27"/>
    </row>
    <row r="16" spans="2:17" ht="29" x14ac:dyDescent="0.35">
      <c r="B16" t="s">
        <v>39</v>
      </c>
      <c r="C16" s="17">
        <f>IF(ISNUMBER(C15),IF(C5,C15*IF(C14,3,1)*IF(C13="FOUT3",6,8), "NA"),"Invalid! SCLK exceeds 12.288 MHz")</f>
        <v>24.576000000000001</v>
      </c>
      <c r="D16" t="s">
        <v>7</v>
      </c>
      <c r="F16" t="s">
        <v>40</v>
      </c>
      <c r="G16" s="2">
        <f>FLOOR(G31,1)</f>
        <v>12</v>
      </c>
      <c r="I16" s="3" t="s">
        <v>41</v>
      </c>
      <c r="J16" s="3"/>
      <c r="K16" s="14"/>
      <c r="L16" s="14"/>
      <c r="M16" s="14"/>
      <c r="N16" s="14"/>
      <c r="O16" s="27"/>
    </row>
    <row r="17" spans="2:16" x14ac:dyDescent="0.35">
      <c r="F17" t="s">
        <v>42</v>
      </c>
      <c r="G17" s="2">
        <f>ROUND(G32*POWER(2,24),0)</f>
        <v>4831838</v>
      </c>
      <c r="I17" t="str">
        <f>_xlfn.CONCAT("0~",POWER(2,24))</f>
        <v>0~16777216</v>
      </c>
      <c r="K17" s="28">
        <f>IF(G14&lt;1, "Invalid! REFDIV must be &gt;=1", IF(G14&gt;63, "Invalid! FREF must be &lt;=63", G14))</f>
        <v>3</v>
      </c>
      <c r="L17" s="28"/>
      <c r="M17" s="28"/>
      <c r="N17" s="28"/>
      <c r="O17" s="27"/>
    </row>
    <row r="18" spans="2:16" ht="29" x14ac:dyDescent="0.35">
      <c r="B18" s="31" t="s">
        <v>43</v>
      </c>
      <c r="C18" s="31"/>
      <c r="D18" s="31"/>
      <c r="F18" t="s">
        <v>44</v>
      </c>
      <c r="G18" s="2">
        <f>IF(K29&gt;240000000,1,0)</f>
        <v>0</v>
      </c>
      <c r="J18" s="3" t="s">
        <v>45</v>
      </c>
      <c r="K18" s="1" t="str">
        <f>IF(G15=0, "Fractional", "Integer")</f>
        <v>Fractional</v>
      </c>
      <c r="L18" s="1"/>
      <c r="M18" s="1"/>
      <c r="O18" s="27"/>
    </row>
    <row r="19" spans="2:16" x14ac:dyDescent="0.35">
      <c r="B19" t="s">
        <v>18</v>
      </c>
      <c r="C19" s="19">
        <v>16000</v>
      </c>
      <c r="D19" t="s">
        <v>11</v>
      </c>
      <c r="K19" s="34">
        <f>IF(G15=0,IF(G16&lt;10,"Invalid! FBDIV too small",IF(G16&gt;96,"Invalid! FBDIV too big",G16)),IF(G16&lt;4,"Invalid! FBDIV too small",IF(G16&gt;960,"Invalid! FBDIV too big",G16)))</f>
        <v>12</v>
      </c>
      <c r="L19" s="34"/>
      <c r="M19" s="34"/>
      <c r="N19" s="34"/>
      <c r="O19" s="27"/>
    </row>
    <row r="20" spans="2:16" x14ac:dyDescent="0.35">
      <c r="B20" t="s">
        <v>46</v>
      </c>
      <c r="C20" s="24">
        <v>3</v>
      </c>
      <c r="F20" s="28">
        <f>IF(OR(C49:C51)=FALSE,"No peripheral use PLL", IF(C48,"I2S SCLK out of range",IF(C49,D49,IF(C50,D50,IF(C51,D51)))))</f>
        <v>24.576000000000001</v>
      </c>
      <c r="G20" s="28"/>
      <c r="H20" s="28"/>
      <c r="I20" s="28"/>
      <c r="J20" s="28"/>
      <c r="K20" s="1">
        <f>IF(G15 = 0, IF(G17&gt;POWER(2,24)-1,"Invalid",G17), IF(G17=0, G17, "Invalid"))</f>
        <v>4831838</v>
      </c>
      <c r="L20" s="1"/>
      <c r="M20" s="1"/>
      <c r="O20" s="27"/>
    </row>
    <row r="21" spans="2:16" x14ac:dyDescent="0.35">
      <c r="B21" t="s">
        <v>47</v>
      </c>
      <c r="C21" s="25">
        <v>3</v>
      </c>
      <c r="K21" s="28">
        <f>IF(G15=0,FBDIV+(FRAC/POWER(2,24)), FBDIV)</f>
        <v>12.287999987602234</v>
      </c>
      <c r="L21" s="28"/>
      <c r="M21" s="28"/>
      <c r="N21" s="28"/>
    </row>
    <row r="22" spans="2:16" x14ac:dyDescent="0.35">
      <c r="B22" t="s">
        <v>48</v>
      </c>
      <c r="C22" s="19">
        <v>48</v>
      </c>
      <c r="K22" s="1"/>
      <c r="L22" s="1"/>
      <c r="M22" s="1"/>
    </row>
    <row r="23" spans="2:16" x14ac:dyDescent="0.35">
      <c r="B23" t="s">
        <v>49</v>
      </c>
      <c r="C23" s="15">
        <f>(C19*C22*2)/1000000</f>
        <v>1.536</v>
      </c>
      <c r="D23" t="s">
        <v>7</v>
      </c>
      <c r="F23" s="1" t="s">
        <v>50</v>
      </c>
      <c r="G23" s="1">
        <f>IF(COUNTIF(K15,"*Invalid*"),"Invalid",(FREF*FBDIV_FINAL)/(REFDIV*POSTDIV1*POSTDIV2))</f>
        <v>24575999.975204468</v>
      </c>
      <c r="H23" s="1" t="s">
        <v>11</v>
      </c>
      <c r="N23" s="1">
        <f>1/(G6*POWER(10,6))</f>
        <v>4.1666666666666669E-8</v>
      </c>
      <c r="O23" s="1" t="s">
        <v>51</v>
      </c>
      <c r="P23" s="1">
        <f>G14 + G12*POWER(2,8) + G11*POWER(2,12) +G16*POWER(2,16)</f>
        <v>795139</v>
      </c>
    </row>
    <row r="24" spans="2:16" ht="15.5" x14ac:dyDescent="0.35">
      <c r="B24" t="s">
        <v>39</v>
      </c>
      <c r="C24" s="17">
        <f>IF(C6, (C23*(C20+1)*(C21+1)), "NA")</f>
        <v>24.576000000000001</v>
      </c>
      <c r="D24" t="s">
        <v>7</v>
      </c>
      <c r="F24" s="18" t="s">
        <v>50</v>
      </c>
      <c r="G24" s="18">
        <f>G23/1000000</f>
        <v>24.575999975204468</v>
      </c>
      <c r="H24" s="18" t="s">
        <v>7</v>
      </c>
      <c r="O24" s="1" t="s">
        <v>52</v>
      </c>
      <c r="P24" s="1" t="e">
        <f>#REF! +#REF!*POWER( 2,1)+#REF!*POWER(2,2)+G15*POWER(2,3)+#REF!*POWER(2,4)+#REF!*POWER(2,5)+#REF!*POWER(2,8)+G18*POWER(2,9)+#REF!*POWER(2,29)+#REF!*POWER(2,30)+#REF!*POWER(2,31)</f>
        <v>#REF!</v>
      </c>
    </row>
    <row r="26" spans="2:16" hidden="1" x14ac:dyDescent="0.35"/>
    <row r="27" spans="2:16" hidden="1" x14ac:dyDescent="0.35"/>
    <row r="28" spans="2:16" hidden="1" x14ac:dyDescent="0.35">
      <c r="F28" s="29" t="s">
        <v>53</v>
      </c>
      <c r="G28" s="29"/>
      <c r="H28" s="29"/>
      <c r="I28" s="29"/>
      <c r="J28" s="29"/>
      <c r="K28" s="29"/>
      <c r="L28" s="29"/>
      <c r="M28" s="5"/>
    </row>
    <row r="29" spans="2:16" hidden="1" x14ac:dyDescent="0.35">
      <c r="F29" s="5" t="s">
        <v>54</v>
      </c>
      <c r="G29" s="5">
        <f>K29/1000000</f>
        <v>98.304000000000002</v>
      </c>
      <c r="H29" s="5" t="s">
        <v>7</v>
      </c>
      <c r="I29" s="5"/>
      <c r="J29" s="5"/>
      <c r="K29" s="6">
        <f>K10*POSTDIV1*POSTDIV2</f>
        <v>98304000</v>
      </c>
      <c r="L29" s="5"/>
      <c r="M29" s="5"/>
    </row>
    <row r="30" spans="2:16" hidden="1" x14ac:dyDescent="0.35">
      <c r="F30" s="5" t="s">
        <v>55</v>
      </c>
      <c r="G30" s="5">
        <f>K29/FREF</f>
        <v>4.0960000000000001</v>
      </c>
      <c r="H30" s="5"/>
      <c r="I30" s="5"/>
      <c r="J30" s="5"/>
      <c r="K30" s="5"/>
      <c r="L30" s="5"/>
      <c r="M30" s="5"/>
    </row>
    <row r="31" spans="2:16" hidden="1" x14ac:dyDescent="0.35">
      <c r="F31" s="5" t="s">
        <v>56</v>
      </c>
      <c r="G31" s="5">
        <f>G30*G14</f>
        <v>12.288</v>
      </c>
      <c r="H31" s="5"/>
      <c r="I31" s="5" t="s">
        <v>57</v>
      </c>
      <c r="J31" s="5"/>
      <c r="K31" s="5"/>
      <c r="L31" s="5"/>
      <c r="M31" s="5"/>
    </row>
    <row r="32" spans="2:16" hidden="1" x14ac:dyDescent="0.35">
      <c r="F32" s="5" t="s">
        <v>58</v>
      </c>
      <c r="G32" s="5">
        <f>MOD(G31,1)</f>
        <v>0.28800000000000026</v>
      </c>
      <c r="H32" s="5"/>
      <c r="I32" s="5"/>
      <c r="J32" s="5"/>
      <c r="K32" s="5"/>
      <c r="L32" s="5"/>
      <c r="M32" s="5"/>
    </row>
    <row r="33" spans="1:13" x14ac:dyDescent="0.35">
      <c r="F33" s="12" t="s">
        <v>59</v>
      </c>
      <c r="G33" s="10"/>
      <c r="H33" s="10"/>
      <c r="I33" s="11"/>
      <c r="J33" s="1"/>
      <c r="K33" s="1"/>
      <c r="L33" s="1"/>
      <c r="M33" s="1"/>
    </row>
    <row r="34" spans="1:13" ht="15" customHeight="1" x14ac:dyDescent="0.35">
      <c r="B34" s="31" t="s">
        <v>60</v>
      </c>
      <c r="C34" s="31"/>
      <c r="D34" s="31"/>
      <c r="F34" s="30" t="str">
        <f>_xlfn.CONCAT(J34:J43)</f>
        <v>{
    .eFref  = &lt;replace with eFref selection&gt;,
    .eVCOSel = AM_HAL_SYSPLL_VCOSEL_VCOLO,
    .eFractionMode = AM_HAL_SYSPLL_FMODE_FRACTION,
    .ui8RefDiv = 3,
    .ui8PostDiv1 = 2,
    .ui8PostDiv2 = 2,
    .ui16FBDivInt = 12,
    .ui32FBDivFrac = 4831838,
}</v>
      </c>
      <c r="G34" s="30"/>
      <c r="H34" s="30"/>
      <c r="I34" s="30"/>
      <c r="J34" s="13" t="str">
        <f>_xlfn.CONCAT("{", CHAR(10))</f>
        <v xml:space="preserve">{
</v>
      </c>
    </row>
    <row r="35" spans="1:13" x14ac:dyDescent="0.35">
      <c r="B35" t="s">
        <v>18</v>
      </c>
      <c r="C35" s="19">
        <v>32000</v>
      </c>
      <c r="D35" t="s">
        <v>11</v>
      </c>
      <c r="F35" s="30"/>
      <c r="G35" s="30"/>
      <c r="H35" s="30"/>
      <c r="I35" s="30"/>
      <c r="J35" s="13" t="str">
        <f>_xlfn.CONCAT("    .eFref  = &lt;replace with eFref selection&gt;,", CHAR(10))</f>
        <v xml:space="preserve">    .eFref  = &lt;replace with eFref selection&gt;,
</v>
      </c>
    </row>
    <row r="36" spans="1:13" x14ac:dyDescent="0.35">
      <c r="B36" t="s">
        <v>61</v>
      </c>
      <c r="C36" s="22">
        <v>32</v>
      </c>
      <c r="F36" s="30"/>
      <c r="G36" s="30"/>
      <c r="H36" s="30"/>
      <c r="I36" s="30"/>
      <c r="J36" s="13" t="str">
        <f>_xlfn.CONCAT("    .eVCOSel = ",IF(G18=1,"AM_HAL_SYSPLL_VCOSEL_VCOHI","AM_HAL_SYSPLL_VCOSEL_VCOLO"),",", CHAR(10))</f>
        <v xml:space="preserve">    .eVCOSel = AM_HAL_SYSPLL_VCOSEL_VCOLO,
</v>
      </c>
    </row>
    <row r="37" spans="1:13" x14ac:dyDescent="0.35">
      <c r="B37" t="s">
        <v>62</v>
      </c>
      <c r="C37" s="19">
        <v>24</v>
      </c>
      <c r="F37" s="30"/>
      <c r="G37" s="30"/>
      <c r="H37" s="30"/>
      <c r="I37" s="30"/>
      <c r="J37" s="13" t="str">
        <f>_xlfn.CONCAT("    .eFractionMode = ",IF(G15=0,"AM_HAL_SYSPLL_FMODE_FRACTION","AM_HAL_SYSPLL_FMODE_INTEGER"),",", CHAR(10))</f>
        <v xml:space="preserve">    .eFractionMode = AM_HAL_SYSPLL_FMODE_FRACTION,
</v>
      </c>
    </row>
    <row r="38" spans="1:13" x14ac:dyDescent="0.35">
      <c r="B38" t="s">
        <v>63</v>
      </c>
      <c r="C38" s="23">
        <v>1</v>
      </c>
      <c r="F38" s="30"/>
      <c r="G38" s="30"/>
      <c r="H38" s="30"/>
      <c r="I38" s="30"/>
      <c r="J38" s="13" t="str">
        <f>_xlfn.CONCAT("    .ui8RefDiv = ",G14,",", CHAR(10))</f>
        <v xml:space="preserve">    .ui8RefDiv = 3,
</v>
      </c>
    </row>
    <row r="39" spans="1:13" x14ac:dyDescent="0.35">
      <c r="B39" t="s">
        <v>39</v>
      </c>
      <c r="C39" s="17">
        <f>IF(C7, (C35*C36*C37*C38)/1000000, "NA")</f>
        <v>24.576000000000001</v>
      </c>
      <c r="D39" t="s">
        <v>7</v>
      </c>
      <c r="F39" s="30"/>
      <c r="G39" s="30"/>
      <c r="H39" s="30"/>
      <c r="I39" s="30"/>
      <c r="J39" s="13" t="str">
        <f>_xlfn.CONCAT("    .ui8PostDiv1 = ",G11,",", CHAR(10))</f>
        <v xml:space="preserve">    .ui8PostDiv1 = 2,
</v>
      </c>
    </row>
    <row r="40" spans="1:13" x14ac:dyDescent="0.35">
      <c r="F40" s="30"/>
      <c r="G40" s="30"/>
      <c r="H40" s="30"/>
      <c r="I40" s="30"/>
      <c r="J40" s="13" t="str">
        <f>_xlfn.CONCAT("    .ui8PostDiv2 = ",G12,",", CHAR(10))</f>
        <v xml:space="preserve">    .ui8PostDiv2 = 2,
</v>
      </c>
    </row>
    <row r="41" spans="1:13" x14ac:dyDescent="0.35">
      <c r="F41" s="30"/>
      <c r="G41" s="30"/>
      <c r="H41" s="30"/>
      <c r="I41" s="30"/>
      <c r="J41" s="13" t="str">
        <f>_xlfn.CONCAT("    .ui16FBDivInt = ",G16,",", CHAR(10))</f>
        <v xml:space="preserve">    .ui16FBDivInt = 12,
</v>
      </c>
    </row>
    <row r="42" spans="1:13" x14ac:dyDescent="0.35">
      <c r="F42" s="30"/>
      <c r="G42" s="30"/>
      <c r="H42" s="30"/>
      <c r="I42" s="30"/>
      <c r="J42" s="13" t="str">
        <f>_xlfn.CONCAT("    .ui32FBDivFrac = ",G17,",", CHAR(10))</f>
        <v xml:space="preserve">    .ui32FBDivFrac = 4831838,
</v>
      </c>
    </row>
    <row r="43" spans="1:13" x14ac:dyDescent="0.35">
      <c r="A43" s="1"/>
      <c r="B43" s="1" t="s">
        <v>64</v>
      </c>
      <c r="C43" s="1" t="s">
        <v>65</v>
      </c>
      <c r="D43" s="1"/>
      <c r="E43" s="1"/>
      <c r="F43" s="30"/>
      <c r="G43" s="30"/>
      <c r="H43" s="30"/>
      <c r="I43" s="30"/>
      <c r="J43" s="13" t="s">
        <v>66</v>
      </c>
    </row>
    <row r="44" spans="1:13" x14ac:dyDescent="0.35">
      <c r="A44" s="1"/>
      <c r="B44" s="1">
        <f>IF(C5,1,0)</f>
        <v>1</v>
      </c>
      <c r="C44" s="1">
        <f>IF(ISNUMBER(C16),1,0)</f>
        <v>1</v>
      </c>
      <c r="D44" s="1"/>
      <c r="E44" s="1"/>
    </row>
    <row r="45" spans="1:13" x14ac:dyDescent="0.35">
      <c r="A45" s="1"/>
      <c r="B45" s="1">
        <f>IF(C6,1,0)</f>
        <v>1</v>
      </c>
      <c r="C45" s="1">
        <f>IF(ISNUMBER(C24),1,0)</f>
        <v>1</v>
      </c>
      <c r="D45" s="1"/>
      <c r="E45" s="1"/>
    </row>
    <row r="46" spans="1:13" x14ac:dyDescent="0.35">
      <c r="A46" s="1"/>
      <c r="B46" s="1">
        <f>IF(C7,1,0)</f>
        <v>1</v>
      </c>
      <c r="C46" s="1">
        <f>IF(ISNUMBER(C39),1,0)</f>
        <v>1</v>
      </c>
      <c r="D46" s="1"/>
      <c r="E46" s="1"/>
    </row>
    <row r="47" spans="1:13" x14ac:dyDescent="0.35">
      <c r="A47" s="1"/>
      <c r="B47" s="1"/>
      <c r="C47" s="1"/>
      <c r="D47" s="1"/>
      <c r="E47" s="1"/>
    </row>
    <row r="48" spans="1:13" x14ac:dyDescent="0.35">
      <c r="A48" s="1"/>
      <c r="B48" s="1" t="s">
        <v>67</v>
      </c>
      <c r="C48" s="1" t="b">
        <f>IF(AND(B44=1,C44=0),TRUE,FALSE)</f>
        <v>0</v>
      </c>
      <c r="D48" s="1"/>
      <c r="E48" s="1"/>
    </row>
    <row r="49" spans="1:6" x14ac:dyDescent="0.35">
      <c r="A49" s="1"/>
      <c r="B49" s="1" t="s">
        <v>68</v>
      </c>
      <c r="C49" s="1" t="b">
        <f>IF(SUM(B44:B46)=1,TRUE,FALSE)</f>
        <v>0</v>
      </c>
      <c r="D49" s="1">
        <f>IF(C49,B44*IF(ISNUMBER(C16),C16,0)+B45*IF(ISNUMBER(C24),C24,0)+B46*IF(ISNUMBER(C39),C39,0),0)</f>
        <v>0</v>
      </c>
      <c r="E49" s="1"/>
      <c r="F49" s="1" t="s">
        <v>69</v>
      </c>
    </row>
    <row r="50" spans="1:6" x14ac:dyDescent="0.35">
      <c r="A50" s="1"/>
      <c r="B50" s="1" t="s">
        <v>70</v>
      </c>
      <c r="C50" s="1" t="b">
        <f>IF(SUM(B44:B46)=2,TRUE,FALSE)</f>
        <v>0</v>
      </c>
      <c r="D50" s="1">
        <f>IF(C50,IF(C7=FALSE,IF(C16=C24,C16,F49),IF(C6=FALSE,IF(C16=C39,C16,F50),IF(C5=FALSE,IF(C24=C39,C24,F51),0))),0)</f>
        <v>0</v>
      </c>
      <c r="E50" s="1"/>
      <c r="F50" s="1" t="s">
        <v>71</v>
      </c>
    </row>
    <row r="51" spans="1:6" x14ac:dyDescent="0.35">
      <c r="A51" s="1"/>
      <c r="B51" s="1" t="s">
        <v>72</v>
      </c>
      <c r="C51" s="1" t="b">
        <f>IF(SUM(B44:B46)=3,TRUE,FALSE)</f>
        <v>1</v>
      </c>
      <c r="D51" s="1">
        <f>IF(C51,IF(C16&lt;&gt;C24,F49,IF(C16&lt;&gt;C39,F50,IF(C24&lt;&gt;C39,F51,C16))),0)</f>
        <v>24.576000000000001</v>
      </c>
      <c r="E51" s="1"/>
      <c r="F51" s="1" t="s">
        <v>73</v>
      </c>
    </row>
    <row r="52" spans="1:6" x14ac:dyDescent="0.35">
      <c r="A52" s="1"/>
      <c r="B52" s="1"/>
      <c r="C52" s="1"/>
      <c r="D52" s="1"/>
      <c r="E52" s="1"/>
    </row>
  </sheetData>
  <sheetProtection sheet="1"/>
  <mergeCells count="18">
    <mergeCell ref="B3:I3"/>
    <mergeCell ref="B2:I2"/>
    <mergeCell ref="F5:J5"/>
    <mergeCell ref="K19:N19"/>
    <mergeCell ref="K21:N21"/>
    <mergeCell ref="F20:J20"/>
    <mergeCell ref="F28:L28"/>
    <mergeCell ref="F34:I43"/>
    <mergeCell ref="B9:D9"/>
    <mergeCell ref="K6:N6"/>
    <mergeCell ref="B18:D18"/>
    <mergeCell ref="B34:D34"/>
    <mergeCell ref="O6:O20"/>
    <mergeCell ref="J11:J12"/>
    <mergeCell ref="K11:N11"/>
    <mergeCell ref="K12:N12"/>
    <mergeCell ref="K15:N15"/>
    <mergeCell ref="K17:N17"/>
  </mergeCells>
  <conditionalFormatting sqref="B34 B35:D37 B38 B39:D39 B9 A10:XFD10 B11:K11 A12:XFD12 A13:B14 B15:E17 A18:B18 A19:E20 B21:E21 A22:E22 A23:XFD32 A1:XFD1 A2:B3 J2:XFD3 A4:XFD4 E5:F5 K5:XFD5 E6:K6 O6:XFD6 A7:A8 E7:XFD9 E13:XFD14 F14:J18 K15:K17 O15:XFD17 E18 K18:XFD20 K21 O21:XFD21 H22:XFD22 A33 E33:XFD33 E34:E39 J34:XFD43 B40:B41 D40:E41 B42:E42 D43:E43 E44:XFD45 B44:B46 D44:D46 D46:XFD47 A47:B48 D48:E48 G48:XFD48 A49:XFD1048576">
    <cfRule type="containsText" dxfId="9" priority="26" operator="containsText" text="Invalid">
      <formula>NOT(ISERROR(SEARCH("Invalid",A1)))</formula>
    </cfRule>
  </conditionalFormatting>
  <conditionalFormatting sqref="B9:D16">
    <cfRule type="expression" dxfId="8" priority="12">
      <formula>IF($C$5, 0, 1)</formula>
    </cfRule>
  </conditionalFormatting>
  <conditionalFormatting sqref="B18:D24">
    <cfRule type="expression" dxfId="7" priority="10">
      <formula>IF($C$6, 0, 1)</formula>
    </cfRule>
  </conditionalFormatting>
  <conditionalFormatting sqref="B34:D39">
    <cfRule type="expression" dxfId="6" priority="14">
      <formula>IF($C$7, 0, 1)</formula>
    </cfRule>
  </conditionalFormatting>
  <conditionalFormatting sqref="C16">
    <cfRule type="expression" dxfId="5" priority="3">
      <formula>IF(OR($F$20=$F$49,$F$20=$F$50),1,0)</formula>
    </cfRule>
  </conditionalFormatting>
  <conditionalFormatting sqref="C24">
    <cfRule type="expression" dxfId="4" priority="2">
      <formula>IF(OR($F$20=$F$49,$F$20=$F$51),1,0)</formula>
    </cfRule>
  </conditionalFormatting>
  <conditionalFormatting sqref="C39">
    <cfRule type="expression" dxfId="3" priority="1">
      <formula>IF(OR($F$20=$F$50,$F$20=$F$51),1,0)</formula>
    </cfRule>
  </conditionalFormatting>
  <conditionalFormatting sqref="F20">
    <cfRule type="expression" dxfId="2" priority="6">
      <formula>IF(ISNUMBER($F$20), 0, 1)</formula>
    </cfRule>
  </conditionalFormatting>
  <conditionalFormatting sqref="G24">
    <cfRule type="expression" dxfId="1" priority="27">
      <formula>ISERROR(G24)</formula>
    </cfRule>
  </conditionalFormatting>
  <conditionalFormatting sqref="K6:K21">
    <cfRule type="cellIs" dxfId="0" priority="28" operator="equal">
      <formula>"Invalid"</formula>
    </cfRule>
  </conditionalFormatting>
  <dataValidations count="14">
    <dataValidation type="list" allowBlank="1" showInputMessage="1" showErrorMessage="1" sqref="C10" xr:uid="{73B9F22C-4DAD-44A3-99DD-352A4ED1C915}">
      <formula1>"8000, 16000, 24000, 32000, 44100, 48000, 64000, 96000"</formula1>
    </dataValidation>
    <dataValidation type="list" allowBlank="1" showInputMessage="1" showErrorMessage="1" sqref="C11" xr:uid="{E8C56C72-0A12-4156-8837-4F3F3315CFAF}">
      <formula1>"1,2,3,4,5,6,7,8"</formula1>
    </dataValidation>
    <dataValidation type="list" allowBlank="1" showInputMessage="1" showErrorMessage="1" sqref="C12" xr:uid="{4981AA55-9AF3-4E58-A4FC-7C4EBD4BA373}">
      <formula1>"16,24,32"</formula1>
    </dataValidation>
    <dataValidation type="list" allowBlank="1" showInputMessage="1" showErrorMessage="1" sqref="C13" xr:uid="{0DD91829-B98C-42DA-B6F7-8FED729F3A1A}">
      <formula1>"FOUT3, FOUT4"</formula1>
    </dataValidation>
    <dataValidation type="list" allowBlank="1" showInputMessage="1" showErrorMessage="1" sqref="C22" xr:uid="{B6A923A7-D972-419B-B558-51D2B7B29D99}">
      <formula1>"16,18,20,22,24,26,28,30,32,34,36,38,40,42,44,46,48,50,52,54,56,58,60,62,64"</formula1>
    </dataValidation>
    <dataValidation type="list" allowBlank="1" showInputMessage="1" showErrorMessage="1" sqref="C14 C5:C7" xr:uid="{BE030A30-3664-4DF5-996F-312F9F8C7858}">
      <formula1>"true, false"</formula1>
    </dataValidation>
    <dataValidation type="list" allowBlank="1" showInputMessage="1" showErrorMessage="1" sqref="C20" xr:uid="{15BCA2C2-AD44-4131-83CE-F3BB063E8073}">
      <formula1>"1,2,3"</formula1>
    </dataValidation>
    <dataValidation type="list" allowBlank="1" showInputMessage="1" showErrorMessage="1" sqref="C21" xr:uid="{BC769254-F696-4203-A369-F69C32407F7B}">
      <formula1>"1,2,3,4,5,6,7,8,9,10,11,12,13,14,15"</formula1>
    </dataValidation>
    <dataValidation type="whole" operator="greaterThan" allowBlank="1" showInputMessage="1" showErrorMessage="1" sqref="C35 C19 C37" xr:uid="{4F96A8C9-0FC5-4F37-BD2E-E869EDA0CFFC}">
      <formula1>0</formula1>
    </dataValidation>
    <dataValidation type="list" allowBlank="1" showInputMessage="1" showErrorMessage="1" sqref="C36" xr:uid="{F161522C-E1D7-46E5-A853-DA03255EB91F}">
      <formula1>"1,2,4,8,16,32"</formula1>
    </dataValidation>
    <dataValidation type="list" allowBlank="1" showInputMessage="1" showErrorMessage="1" sqref="C38" xr:uid="{0061BF35-1866-427D-9999-CADEDC87CDB5}">
      <formula1>"1,2,4,8,16,32,64,128"</formula1>
    </dataValidation>
    <dataValidation type="whole" allowBlank="1" showInputMessage="1" showErrorMessage="1" errorTitle="Error" error="Wrong POSTDIV1 value. POSTDIV1 must be an integer in the range [1, 7]." sqref="G11" xr:uid="{526F43A4-F72A-46C4-BEB8-C105337CDADA}">
      <formula1>1</formula1>
      <formula2>7</formula2>
    </dataValidation>
    <dataValidation type="whole" allowBlank="1" showInputMessage="1" showErrorMessage="1" errorTitle="Error" error="Wrong POSTDIV2 value. POSTDIV2 must be an integer in the range [1, POSTDIV1]." sqref="G12" xr:uid="{8164D1C2-98C3-4F12-B199-801E2B54F4BA}">
      <formula1>1</formula1>
      <formula2>G11</formula2>
    </dataValidation>
    <dataValidation type="whole" allowBlank="1" showInputMessage="1" showErrorMessage="1" errorTitle="Error" error="Wrong REFDIV value. REFDIV must be an integer in the range [1, 63]." sqref="G14" xr:uid="{9BC0FFC6-6CDD-425A-9867-343225FFF76F}">
      <formula1>1</formula1>
      <formula2>63</formula2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a81d4d4-80de-4eec-907d-8be339ff74a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338F850BF048448AD156267D86C587B" ma:contentTypeVersion="15" ma:contentTypeDescription="Create a new document." ma:contentTypeScope="" ma:versionID="bd99f5118ba130b5f60858003302a0c9">
  <xsd:schema xmlns:xsd="http://www.w3.org/2001/XMLSchema" xmlns:xs="http://www.w3.org/2001/XMLSchema" xmlns:p="http://schemas.microsoft.com/office/2006/metadata/properties" xmlns:ns3="993a016c-47cd-47d2-a93f-bffca9f110d0" xmlns:ns4="8a81d4d4-80de-4eec-907d-8be339ff74a1" targetNamespace="http://schemas.microsoft.com/office/2006/metadata/properties" ma:root="true" ma:fieldsID="3407c87891c006af02f42dce214dcc6e" ns3:_="" ns4:_="">
    <xsd:import namespace="993a016c-47cd-47d2-a93f-bffca9f110d0"/>
    <xsd:import namespace="8a81d4d4-80de-4eec-907d-8be339ff74a1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Location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_activity" minOccurs="0"/>
                <xsd:element ref="ns4:MediaServiceObjectDetectorVersions" minOccurs="0"/>
                <xsd:element ref="ns4:MediaLengthInSecond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3a016c-47cd-47d2-a93f-bffca9f110d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81d4d4-80de-4eec-907d-8be339ff74a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4029755-6A12-4E1B-81FF-17CC9A3C2E92}">
  <ds:schemaRefs>
    <ds:schemaRef ds:uri="http://schemas.microsoft.com/office/2006/metadata/properties"/>
    <ds:schemaRef ds:uri="http://schemas.microsoft.com/office/infopath/2007/PartnerControls"/>
    <ds:schemaRef ds:uri="8a81d4d4-80de-4eec-907d-8be339ff74a1"/>
  </ds:schemaRefs>
</ds:datastoreItem>
</file>

<file path=customXml/itemProps2.xml><?xml version="1.0" encoding="utf-8"?>
<ds:datastoreItem xmlns:ds="http://schemas.openxmlformats.org/officeDocument/2006/customXml" ds:itemID="{76386354-3DB9-40B6-9DBE-3924378EEAC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535FB13-0383-4BC6-84DE-7D295802039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93a016c-47cd-47d2-a93f-bffca9f110d0"/>
    <ds:schemaRef ds:uri="8a81d4d4-80de-4eec-907d-8be339ff74a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7</vt:i4>
      </vt:variant>
    </vt:vector>
  </HeadingPairs>
  <TitlesOfParts>
    <vt:vector size="8" baseType="lpstr">
      <vt:lpstr>PLL config calculator</vt:lpstr>
      <vt:lpstr>'PLL config calculator'!FBDIV</vt:lpstr>
      <vt:lpstr>'PLL config calculator'!FBDIV_FINAL</vt:lpstr>
      <vt:lpstr>'PLL config calculator'!FRAC</vt:lpstr>
      <vt:lpstr>'PLL config calculator'!FREF</vt:lpstr>
      <vt:lpstr>'PLL config calculator'!POSTDIV1</vt:lpstr>
      <vt:lpstr>'PLL config calculator'!POSTDIV2</vt:lpstr>
      <vt:lpstr>'PLL config calculator'!REFDIV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Zeon Chew</dc:creator>
  <cp:keywords/>
  <dc:description/>
  <cp:lastModifiedBy>Zhenwu Hu</cp:lastModifiedBy>
  <cp:revision/>
  <dcterms:created xsi:type="dcterms:W3CDTF">2024-06-06T04:11:16Z</dcterms:created>
  <dcterms:modified xsi:type="dcterms:W3CDTF">2024-06-14T15:39:10Z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0x0101008338F850BF048448AD156267D86C587B</vt:lpwstr>
  </property>
  <property fmtid="{D5CDD505-2E9C-101B-9397-08002B2CF9AE}" pid="3" name="MSIP_Label_5ca535d5-a603-4220-af87-8dceddad56aa_Enabled">
    <vt:lpwstr>true</vt:lpwstr>
  </property>
  <property fmtid="{D5CDD505-2E9C-101B-9397-08002B2CF9AE}" pid="4" name="MSIP_Label_5ca535d5-a603-4220-af87-8dceddad56aa_SetDate">
    <vt:lpwstr>2024-06-13T13:49:36Z</vt:lpwstr>
  </property>
  <property fmtid="{D5CDD505-2E9C-101B-9397-08002B2CF9AE}" pid="5" name="MSIP_Label_5ca535d5-a603-4220-af87-8dceddad56aa_Method">
    <vt:lpwstr>Privileged</vt:lpwstr>
  </property>
  <property fmtid="{D5CDD505-2E9C-101B-9397-08002B2CF9AE}" pid="6" name="MSIP_Label_5ca535d5-a603-4220-af87-8dceddad56aa_Name">
    <vt:lpwstr>defa4170-0d19-0005-0001-bc88714345d2</vt:lpwstr>
  </property>
  <property fmtid="{D5CDD505-2E9C-101B-9397-08002B2CF9AE}" pid="7" name="MSIP_Label_5ca535d5-a603-4220-af87-8dceddad56aa_SiteId">
    <vt:lpwstr>e36a0208-6b2e-463a-a7b2-6b0e68a1e82c</vt:lpwstr>
  </property>
  <property fmtid="{D5CDD505-2E9C-101B-9397-08002B2CF9AE}" pid="8" name="MSIP_Label_5ca535d5-a603-4220-af87-8dceddad56aa_ActionId">
    <vt:lpwstr>fdec14b7-bd07-4430-a9c4-f73227b56ccf</vt:lpwstr>
  </property>
  <property fmtid="{D5CDD505-2E9C-101B-9397-08002B2CF9AE}" pid="9" name="MSIP_Label_5ca535d5-a603-4220-af87-8dceddad56aa_ContentBits">
    <vt:lpwstr>0</vt:lpwstr>
  </property>
</Properties>
</file>