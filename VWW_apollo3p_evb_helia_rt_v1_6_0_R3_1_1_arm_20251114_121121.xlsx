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nfig" sheetId="2" r:id="rId2"/>
    <sheet name="Derived" sheetId="3" r:id="rId3"/>
    <sheet name="Pivots" sheetId="4" r:id="rId4"/>
  </sheets>
  <definedNames>
    <definedName name="CoreMHz">Config!$B$1</definedName>
  </definedNames>
  <calcPr calcId="124519" fullCalcOnLoad="1"/>
</workbook>
</file>

<file path=xl/sharedStrings.xml><?xml version="1.0" encoding="utf-8"?>
<sst xmlns="http://schemas.openxmlformats.org/spreadsheetml/2006/main" count="153" uniqueCount="69">
  <si>
    <t>"Event"</t>
  </si>
  <si>
    <t>"Tag"</t>
  </si>
  <si>
    <t>"uSeconds"</t>
  </si>
  <si>
    <t>"Est MACs"</t>
  </si>
  <si>
    <t>"cycles"</t>
  </si>
  <si>
    <t>"cpi"</t>
  </si>
  <si>
    <t>"exc"</t>
  </si>
  <si>
    <t>"sleep"</t>
  </si>
  <si>
    <t>"lsu"</t>
  </si>
  <si>
    <t>"fold"</t>
  </si>
  <si>
    <t>"daccess"</t>
  </si>
  <si>
    <t>"dtaglookup"</t>
  </si>
  <si>
    <t>"dhitslookup"</t>
  </si>
  <si>
    <t>"dhitsline"</t>
  </si>
  <si>
    <t>"iaccess"</t>
  </si>
  <si>
    <t>"itaglookup"</t>
  </si>
  <si>
    <t>"ihitslookup"</t>
  </si>
  <si>
    <t>"ihitsline"</t>
  </si>
  <si>
    <t>CONV_2D</t>
  </si>
  <si>
    <t>DEPTHWISE_CONV_2D</t>
  </si>
  <si>
    <t>AVERAGE_POOL_2D</t>
  </si>
  <si>
    <t>RESHAPE</t>
  </si>
  <si>
    <t>FULLY_CONNECTED</t>
  </si>
  <si>
    <t>SOFTMAX</t>
  </si>
  <si>
    <t>CoreMHz</t>
  </si>
  <si>
    <t>Event</t>
  </si>
  <si>
    <t>Tag</t>
  </si>
  <si>
    <t>PRED_MVE_INT_MAC_RETIRED</t>
  </si>
  <si>
    <t>PRED_MVE_VREDUCE_INT_RETIRED</t>
  </si>
  <si>
    <t>PRED_MVE_PRED</t>
  </si>
  <si>
    <t>ElemBits</t>
  </si>
  <si>
    <t>ElemBytes</t>
  </si>
  <si>
    <t>Cycles</t>
  </si>
  <si>
    <t>MACs_per_cycle</t>
  </si>
  <si>
    <t>MACs_per_second</t>
  </si>
  <si>
    <t>Util_@8</t>
  </si>
  <si>
    <t>Util_@16</t>
  </si>
  <si>
    <t>Util_@32</t>
  </si>
  <si>
    <t>PeakMACsPerCycle</t>
  </si>
  <si>
    <t>Util_%</t>
  </si>
  <si>
    <t>IPC</t>
  </si>
  <si>
    <t>%Vectorized</t>
  </si>
  <si>
    <t>MVE_MAC_ratio</t>
  </si>
  <si>
    <t>L1D_Hit</t>
  </si>
  <si>
    <t>L1I_Hit</t>
  </si>
  <si>
    <t>FE_Stall%</t>
  </si>
  <si>
    <t>BE_Stall%</t>
  </si>
  <si>
    <t>Stall%</t>
  </si>
  <si>
    <t>Read_Bytes</t>
  </si>
  <si>
    <t>Write_Bytes</t>
  </si>
  <si>
    <t>BW_Bytes_s</t>
  </si>
  <si>
    <t>MACs_per_Byte</t>
  </si>
  <si>
    <t>OpKind</t>
  </si>
  <si>
    <t>Time_Share%</t>
  </si>
  <si>
    <t>INT_MAC_achv%</t>
  </si>
  <si>
    <t>VREDUCE_INT_achv%</t>
  </si>
  <si>
    <t>PRED_achv%</t>
  </si>
  <si>
    <t>Flag</t>
  </si>
  <si>
    <t>Pivot tables not available (engine=xlsxwriter, xlsxwriter=3.2.9). Using formula-based summaries.</t>
  </si>
  <si>
    <t>Sum Time_Share%</t>
  </si>
  <si>
    <t>Avg Util_%</t>
  </si>
  <si>
    <t>Stall Hotspots</t>
  </si>
  <si>
    <t>Avg FE_Stall%</t>
  </si>
  <si>
    <t>Avg BE_Stall%</t>
  </si>
  <si>
    <t>Avg Stall%</t>
  </si>
  <si>
    <t>Memory-bound Candidates</t>
  </si>
  <si>
    <t>Avg MACs_per_Byte</t>
  </si>
  <si>
    <t>Avg L1D_Hit</t>
  </si>
  <si>
    <t>Avg L1I_Hit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</si>
</sst>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ataTbl" displayName="DataTbl" ref="A1:R32" totalsRowShown="0">
  <autoFilter ref="A1:R32"/>
  <tableColumns count="18">
    <tableColumn id="1" name="&quot;Event&quot;"/>
    <tableColumn id="2" name="&quot;Tag&quot;"/>
    <tableColumn id="3" name="&quot;uSeconds&quot;"/>
    <tableColumn id="4" name="&quot;Est MACs&quot;"/>
    <tableColumn id="5" name="&quot;cycles&quot;"/>
    <tableColumn id="6" name="&quot;cpi&quot;"/>
    <tableColumn id="7" name="&quot;exc&quot;"/>
    <tableColumn id="8" name="&quot;sleep&quot;"/>
    <tableColumn id="9" name="&quot;lsu&quot;"/>
    <tableColumn id="10" name="&quot;fold&quot;"/>
    <tableColumn id="11" name="&quot;daccess&quot;"/>
    <tableColumn id="12" name="&quot;dtaglookup&quot;"/>
    <tableColumn id="13" name="&quot;dhitslookup&quot;"/>
    <tableColumn id="14" name="&quot;dhitsline&quot;"/>
    <tableColumn id="15" name="&quot;iaccess&quot;"/>
    <tableColumn id="16" name="&quot;itaglookup&quot;"/>
    <tableColumn id="17" name="&quot;ihitslookup&quot;"/>
    <tableColumn id="18" name="&quot;ihitsline&quot;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rivedTbl" displayName="DerivedTbl" ref="A1:AG32" totalsRowShown="0">
  <autoFilter ref="A1:AG32"/>
  <tableColumns count="33">
    <tableColumn id="1" name="Event"/>
    <tableColumn id="2" name="Tag"/>
    <tableColumn id="3" name="PRED_MVE_INT_MAC_RETIRED"/>
    <tableColumn id="4" name="PRED_MVE_VREDUCE_INT_RETIRED"/>
    <tableColumn id="5" name="PRED_MVE_PRED"/>
    <tableColumn id="6" name="ElemBits"/>
    <tableColumn id="7" name="ElemBytes"/>
    <tableColumn id="8" name="Cycles"/>
    <tableColumn id="9" name="MACs_per_cycle"/>
    <tableColumn id="10" name="MACs_per_second"/>
    <tableColumn id="11" name="Util_@8"/>
    <tableColumn id="12" name="Util_@16"/>
    <tableColumn id="13" name="Util_@32"/>
    <tableColumn id="14" name="PeakMACsPerCycle"/>
    <tableColumn id="15" name="Util_%"/>
    <tableColumn id="16" name="IPC"/>
    <tableColumn id="17" name="%Vectorized"/>
    <tableColumn id="18" name="MVE_MAC_ratio"/>
    <tableColumn id="19" name="L1D_Hit"/>
    <tableColumn id="20" name="L1I_Hit"/>
    <tableColumn id="21" name="FE_Stall%"/>
    <tableColumn id="22" name="BE_Stall%"/>
    <tableColumn id="23" name="Stall%"/>
    <tableColumn id="24" name="Read_Bytes"/>
    <tableColumn id="25" name="Write_Bytes"/>
    <tableColumn id="26" name="BW_Bytes_s"/>
    <tableColumn id="27" name="MACs_per_Byte"/>
    <tableColumn id="28" name="OpKind"/>
    <tableColumn id="29" name="Time_Share%"/>
    <tableColumn id="30" name="INT_MAC_achv%"/>
    <tableColumn id="31" name="VREDUCE_INT_achv%"/>
    <tableColumn id="32" name="PRED_achv%"/>
    <tableColumn id="33" name="Fla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0</v>
      </c>
      <c r="B2" t="s">
        <v>18</v>
      </c>
      <c r="C2">
        <v>48734</v>
      </c>
      <c r="D2">
        <v>497664</v>
      </c>
      <c r="E2">
        <v>4678467</v>
      </c>
      <c r="F2">
        <v>0</v>
      </c>
      <c r="G2">
        <v>0</v>
      </c>
      <c r="H2">
        <v>0</v>
      </c>
      <c r="I2">
        <v>0</v>
      </c>
      <c r="J2">
        <v>0</v>
      </c>
      <c r="K2">
        <v>161316</v>
      </c>
      <c r="L2">
        <v>89854</v>
      </c>
      <c r="M2">
        <v>89824</v>
      </c>
      <c r="N2">
        <v>71462</v>
      </c>
      <c r="O2">
        <v>2412402</v>
      </c>
      <c r="P2">
        <v>823228</v>
      </c>
      <c r="Q2">
        <v>767752</v>
      </c>
      <c r="R2">
        <v>1589175</v>
      </c>
    </row>
    <row r="3" spans="1:18">
      <c r="A3">
        <v>1</v>
      </c>
      <c r="B3" t="s">
        <v>19</v>
      </c>
      <c r="C3">
        <v>18849</v>
      </c>
      <c r="D3">
        <v>165888</v>
      </c>
      <c r="E3">
        <v>1809554</v>
      </c>
      <c r="F3">
        <v>0</v>
      </c>
      <c r="G3">
        <v>0</v>
      </c>
      <c r="H3">
        <v>0</v>
      </c>
      <c r="I3">
        <v>0</v>
      </c>
      <c r="J3">
        <v>0</v>
      </c>
      <c r="K3">
        <v>58800</v>
      </c>
      <c r="L3">
        <v>27290</v>
      </c>
      <c r="M3">
        <v>27274</v>
      </c>
      <c r="N3">
        <v>31510</v>
      </c>
      <c r="O3">
        <v>1132039</v>
      </c>
      <c r="P3">
        <v>360824</v>
      </c>
      <c r="Q3">
        <v>360650</v>
      </c>
      <c r="R3">
        <v>771215</v>
      </c>
    </row>
    <row r="4" spans="1:18">
      <c r="A4">
        <v>2</v>
      </c>
      <c r="B4" t="s">
        <v>18</v>
      </c>
      <c r="C4">
        <v>29821</v>
      </c>
      <c r="D4">
        <v>294912</v>
      </c>
      <c r="E4">
        <v>2862778</v>
      </c>
      <c r="F4">
        <v>0</v>
      </c>
      <c r="G4">
        <v>0</v>
      </c>
      <c r="H4">
        <v>0</v>
      </c>
      <c r="I4">
        <v>0</v>
      </c>
      <c r="J4">
        <v>0</v>
      </c>
      <c r="K4">
        <v>55332</v>
      </c>
      <c r="L4">
        <v>18459</v>
      </c>
      <c r="M4">
        <v>18438</v>
      </c>
      <c r="N4">
        <v>36873</v>
      </c>
      <c r="O4">
        <v>1694625</v>
      </c>
      <c r="P4">
        <v>591305</v>
      </c>
      <c r="Q4">
        <v>591229</v>
      </c>
      <c r="R4">
        <v>1103320</v>
      </c>
    </row>
    <row r="5" spans="1:18">
      <c r="A5">
        <v>3</v>
      </c>
      <c r="B5" t="s">
        <v>19</v>
      </c>
      <c r="C5">
        <v>9191</v>
      </c>
      <c r="D5">
        <v>82944</v>
      </c>
      <c r="E5">
        <v>882426</v>
      </c>
      <c r="F5">
        <v>0</v>
      </c>
      <c r="G5">
        <v>0</v>
      </c>
      <c r="H5">
        <v>0</v>
      </c>
      <c r="I5">
        <v>0</v>
      </c>
      <c r="J5">
        <v>0</v>
      </c>
      <c r="K5">
        <v>29420</v>
      </c>
      <c r="L5">
        <v>22469</v>
      </c>
      <c r="M5">
        <v>22449</v>
      </c>
      <c r="N5">
        <v>6951</v>
      </c>
      <c r="O5">
        <v>553887</v>
      </c>
      <c r="P5">
        <v>178087</v>
      </c>
      <c r="Q5">
        <v>178025</v>
      </c>
      <c r="R5">
        <v>375800</v>
      </c>
    </row>
    <row r="6" spans="1:18">
      <c r="A6">
        <v>4</v>
      </c>
      <c r="B6" t="s">
        <v>18</v>
      </c>
      <c r="C6">
        <v>16031</v>
      </c>
      <c r="D6">
        <v>294912</v>
      </c>
      <c r="E6">
        <v>1538996</v>
      </c>
      <c r="F6">
        <v>0</v>
      </c>
      <c r="G6">
        <v>0</v>
      </c>
      <c r="H6">
        <v>0</v>
      </c>
      <c r="I6">
        <v>0</v>
      </c>
      <c r="J6">
        <v>0</v>
      </c>
      <c r="K6">
        <v>46116</v>
      </c>
      <c r="L6">
        <v>41406</v>
      </c>
      <c r="M6">
        <v>41356</v>
      </c>
      <c r="N6">
        <v>4710</v>
      </c>
      <c r="O6">
        <v>942614</v>
      </c>
      <c r="P6">
        <v>300976</v>
      </c>
      <c r="Q6">
        <v>300918</v>
      </c>
      <c r="R6">
        <v>641638</v>
      </c>
    </row>
    <row r="7" spans="1:18">
      <c r="A7">
        <v>5</v>
      </c>
      <c r="B7" t="s">
        <v>19</v>
      </c>
      <c r="C7">
        <v>17910</v>
      </c>
      <c r="D7">
        <v>165888</v>
      </c>
      <c r="E7">
        <v>1719390</v>
      </c>
      <c r="F7">
        <v>0</v>
      </c>
      <c r="G7">
        <v>0</v>
      </c>
      <c r="H7">
        <v>0</v>
      </c>
      <c r="I7">
        <v>0</v>
      </c>
      <c r="J7">
        <v>0</v>
      </c>
      <c r="K7">
        <v>57672</v>
      </c>
      <c r="L7">
        <v>41522</v>
      </c>
      <c r="M7">
        <v>41488</v>
      </c>
      <c r="N7">
        <v>16150</v>
      </c>
      <c r="O7">
        <v>1079497</v>
      </c>
      <c r="P7">
        <v>342848</v>
      </c>
      <c r="Q7">
        <v>342763</v>
      </c>
      <c r="R7">
        <v>736649</v>
      </c>
    </row>
    <row r="8" spans="1:18">
      <c r="A8">
        <v>6</v>
      </c>
      <c r="B8" t="s">
        <v>18</v>
      </c>
      <c r="C8">
        <v>21514</v>
      </c>
      <c r="D8">
        <v>589824</v>
      </c>
      <c r="E8">
        <v>2065434</v>
      </c>
      <c r="F8">
        <v>0</v>
      </c>
      <c r="G8">
        <v>0</v>
      </c>
      <c r="H8">
        <v>0</v>
      </c>
      <c r="I8">
        <v>0</v>
      </c>
      <c r="J8">
        <v>0</v>
      </c>
      <c r="K8">
        <v>82980</v>
      </c>
      <c r="L8">
        <v>78174</v>
      </c>
      <c r="M8">
        <v>78093</v>
      </c>
      <c r="N8">
        <v>4806</v>
      </c>
      <c r="O8">
        <v>1303766</v>
      </c>
      <c r="P8">
        <v>396018</v>
      </c>
      <c r="Q8">
        <v>395960</v>
      </c>
      <c r="R8">
        <v>907748</v>
      </c>
    </row>
    <row r="9" spans="1:18">
      <c r="A9">
        <v>7</v>
      </c>
      <c r="B9" t="s">
        <v>19</v>
      </c>
      <c r="C9">
        <v>4502</v>
      </c>
      <c r="D9">
        <v>41472</v>
      </c>
      <c r="E9">
        <v>432276</v>
      </c>
      <c r="F9">
        <v>0</v>
      </c>
      <c r="G9">
        <v>0</v>
      </c>
      <c r="H9">
        <v>0</v>
      </c>
      <c r="I9">
        <v>0</v>
      </c>
      <c r="J9">
        <v>0</v>
      </c>
      <c r="K9">
        <v>14448</v>
      </c>
      <c r="L9">
        <v>10482</v>
      </c>
      <c r="M9">
        <v>10448</v>
      </c>
      <c r="N9">
        <v>3966</v>
      </c>
      <c r="O9">
        <v>270839</v>
      </c>
      <c r="P9">
        <v>88083</v>
      </c>
      <c r="Q9">
        <v>88005</v>
      </c>
      <c r="R9">
        <v>182756</v>
      </c>
    </row>
    <row r="10" spans="1:18">
      <c r="A10">
        <v>8</v>
      </c>
      <c r="B10" t="s">
        <v>18</v>
      </c>
      <c r="C10">
        <v>10508</v>
      </c>
      <c r="D10">
        <v>294912</v>
      </c>
      <c r="E10">
        <v>1008752</v>
      </c>
      <c r="F10">
        <v>0</v>
      </c>
      <c r="G10">
        <v>0</v>
      </c>
      <c r="H10">
        <v>0</v>
      </c>
      <c r="I10">
        <v>0</v>
      </c>
      <c r="J10">
        <v>0</v>
      </c>
      <c r="K10">
        <v>41508</v>
      </c>
      <c r="L10">
        <v>38175</v>
      </c>
      <c r="M10">
        <v>37808</v>
      </c>
      <c r="N10">
        <v>3333</v>
      </c>
      <c r="O10">
        <v>636303</v>
      </c>
      <c r="P10">
        <v>192582</v>
      </c>
      <c r="Q10">
        <v>192317</v>
      </c>
      <c r="R10">
        <v>443721</v>
      </c>
    </row>
    <row r="11" spans="1:18">
      <c r="A11">
        <v>9</v>
      </c>
      <c r="B11" t="s">
        <v>19</v>
      </c>
      <c r="C11">
        <v>8728</v>
      </c>
      <c r="D11">
        <v>82944</v>
      </c>
      <c r="E11">
        <v>837926</v>
      </c>
      <c r="F11">
        <v>0</v>
      </c>
      <c r="G11">
        <v>0</v>
      </c>
      <c r="H11">
        <v>0</v>
      </c>
      <c r="I11">
        <v>0</v>
      </c>
      <c r="J11">
        <v>0</v>
      </c>
      <c r="K11">
        <v>27752</v>
      </c>
      <c r="L11">
        <v>20209</v>
      </c>
      <c r="M11">
        <v>20147</v>
      </c>
      <c r="N11">
        <v>7543</v>
      </c>
      <c r="O11">
        <v>523813</v>
      </c>
      <c r="P11">
        <v>166567</v>
      </c>
      <c r="Q11">
        <v>166446</v>
      </c>
      <c r="R11">
        <v>357246</v>
      </c>
    </row>
    <row r="12" spans="1:18">
      <c r="A12">
        <v>10</v>
      </c>
      <c r="B12" t="s">
        <v>18</v>
      </c>
      <c r="C12">
        <v>17059</v>
      </c>
      <c r="D12">
        <v>589824</v>
      </c>
      <c r="E12">
        <v>1637701</v>
      </c>
      <c r="F12">
        <v>0</v>
      </c>
      <c r="G12">
        <v>0</v>
      </c>
      <c r="H12">
        <v>0</v>
      </c>
      <c r="I12">
        <v>0</v>
      </c>
      <c r="J12">
        <v>0</v>
      </c>
      <c r="K12">
        <v>78372</v>
      </c>
      <c r="L12">
        <v>60129</v>
      </c>
      <c r="M12">
        <v>53374</v>
      </c>
      <c r="N12">
        <v>18243</v>
      </c>
      <c r="O12">
        <v>991690</v>
      </c>
      <c r="P12">
        <v>284101</v>
      </c>
      <c r="Q12">
        <v>277485</v>
      </c>
      <c r="R12">
        <v>707589</v>
      </c>
    </row>
    <row r="13" spans="1:18">
      <c r="A13">
        <v>11</v>
      </c>
      <c r="B13" t="s">
        <v>19</v>
      </c>
      <c r="C13">
        <v>2205</v>
      </c>
      <c r="D13">
        <v>20736</v>
      </c>
      <c r="E13">
        <v>211690</v>
      </c>
      <c r="F13">
        <v>0</v>
      </c>
      <c r="G13">
        <v>0</v>
      </c>
      <c r="H13">
        <v>0</v>
      </c>
      <c r="I13">
        <v>0</v>
      </c>
      <c r="J13">
        <v>0</v>
      </c>
      <c r="K13">
        <v>6968</v>
      </c>
      <c r="L13">
        <v>5114</v>
      </c>
      <c r="M13">
        <v>5054</v>
      </c>
      <c r="N13">
        <v>1854</v>
      </c>
      <c r="O13">
        <v>131754</v>
      </c>
      <c r="P13">
        <v>42808</v>
      </c>
      <c r="Q13">
        <v>42731</v>
      </c>
      <c r="R13">
        <v>88946</v>
      </c>
    </row>
    <row r="14" spans="1:18">
      <c r="A14">
        <v>12</v>
      </c>
      <c r="B14" t="s">
        <v>18</v>
      </c>
      <c r="C14">
        <v>7999</v>
      </c>
      <c r="D14">
        <v>294912</v>
      </c>
      <c r="E14">
        <v>768041</v>
      </c>
      <c r="F14">
        <v>0</v>
      </c>
      <c r="G14">
        <v>0</v>
      </c>
      <c r="H14">
        <v>0</v>
      </c>
      <c r="I14">
        <v>0</v>
      </c>
      <c r="J14">
        <v>0</v>
      </c>
      <c r="K14">
        <v>39204</v>
      </c>
      <c r="L14">
        <v>33947</v>
      </c>
      <c r="M14">
        <v>32157</v>
      </c>
      <c r="N14">
        <v>5257</v>
      </c>
      <c r="O14">
        <v>490916</v>
      </c>
      <c r="P14">
        <v>141314</v>
      </c>
      <c r="Q14">
        <v>141046</v>
      </c>
      <c r="R14">
        <v>349603</v>
      </c>
    </row>
    <row r="15" spans="1:18">
      <c r="A15">
        <v>13</v>
      </c>
      <c r="B15" t="s">
        <v>19</v>
      </c>
      <c r="C15">
        <v>4190</v>
      </c>
      <c r="D15">
        <v>41472</v>
      </c>
      <c r="E15">
        <v>402281</v>
      </c>
      <c r="F15">
        <v>0</v>
      </c>
      <c r="G15">
        <v>0</v>
      </c>
      <c r="H15">
        <v>0</v>
      </c>
      <c r="I15">
        <v>0</v>
      </c>
      <c r="J15">
        <v>0</v>
      </c>
      <c r="K15">
        <v>12840</v>
      </c>
      <c r="L15">
        <v>9110</v>
      </c>
      <c r="M15">
        <v>8993</v>
      </c>
      <c r="N15">
        <v>3730</v>
      </c>
      <c r="O15">
        <v>248992</v>
      </c>
      <c r="P15">
        <v>79503</v>
      </c>
      <c r="Q15">
        <v>79403</v>
      </c>
      <c r="R15">
        <v>169488</v>
      </c>
    </row>
    <row r="16" spans="1:18">
      <c r="A16">
        <v>14</v>
      </c>
      <c r="B16" t="s">
        <v>18</v>
      </c>
      <c r="C16">
        <v>13654</v>
      </c>
      <c r="D16">
        <v>589824</v>
      </c>
      <c r="E16">
        <v>1310958</v>
      </c>
      <c r="F16">
        <v>0</v>
      </c>
      <c r="G16">
        <v>0</v>
      </c>
      <c r="H16">
        <v>0</v>
      </c>
      <c r="I16">
        <v>0</v>
      </c>
      <c r="J16">
        <v>0</v>
      </c>
      <c r="K16">
        <v>76068</v>
      </c>
      <c r="L16">
        <v>65617</v>
      </c>
      <c r="M16">
        <v>61635</v>
      </c>
      <c r="N16">
        <v>10451</v>
      </c>
      <c r="O16">
        <v>843681</v>
      </c>
      <c r="P16">
        <v>233925</v>
      </c>
      <c r="Q16">
        <v>231928</v>
      </c>
      <c r="R16">
        <v>609756</v>
      </c>
    </row>
    <row r="17" spans="1:18">
      <c r="A17">
        <v>15</v>
      </c>
      <c r="B17" t="s">
        <v>19</v>
      </c>
      <c r="C17">
        <v>4197</v>
      </c>
      <c r="D17">
        <v>41472</v>
      </c>
      <c r="E17">
        <v>403017</v>
      </c>
      <c r="F17">
        <v>0</v>
      </c>
      <c r="G17">
        <v>0</v>
      </c>
      <c r="H17">
        <v>0</v>
      </c>
      <c r="I17">
        <v>0</v>
      </c>
      <c r="J17">
        <v>0</v>
      </c>
      <c r="K17">
        <v>12840</v>
      </c>
      <c r="L17">
        <v>9116</v>
      </c>
      <c r="M17">
        <v>8999</v>
      </c>
      <c r="N17">
        <v>3724</v>
      </c>
      <c r="O17">
        <v>248985</v>
      </c>
      <c r="P17">
        <v>80115</v>
      </c>
      <c r="Q17">
        <v>79921</v>
      </c>
      <c r="R17">
        <v>168869</v>
      </c>
    </row>
    <row r="18" spans="1:18">
      <c r="A18">
        <v>16</v>
      </c>
      <c r="B18" t="s">
        <v>18</v>
      </c>
      <c r="C18">
        <v>13656</v>
      </c>
      <c r="D18">
        <v>589824</v>
      </c>
      <c r="E18">
        <v>1311160</v>
      </c>
      <c r="F18">
        <v>0</v>
      </c>
      <c r="G18">
        <v>0</v>
      </c>
      <c r="H18">
        <v>0</v>
      </c>
      <c r="I18">
        <v>0</v>
      </c>
      <c r="J18">
        <v>0</v>
      </c>
      <c r="K18">
        <v>76068</v>
      </c>
      <c r="L18">
        <v>65602</v>
      </c>
      <c r="M18">
        <v>61635</v>
      </c>
      <c r="N18">
        <v>10466</v>
      </c>
      <c r="O18">
        <v>843676</v>
      </c>
      <c r="P18">
        <v>233901</v>
      </c>
      <c r="Q18">
        <v>231871</v>
      </c>
      <c r="R18">
        <v>609775</v>
      </c>
    </row>
    <row r="19" spans="1:18">
      <c r="A19">
        <v>17</v>
      </c>
      <c r="B19" t="s">
        <v>19</v>
      </c>
      <c r="C19">
        <v>4629</v>
      </c>
      <c r="D19">
        <v>41472</v>
      </c>
      <c r="E19">
        <v>444413</v>
      </c>
      <c r="F19">
        <v>0</v>
      </c>
      <c r="G19">
        <v>0</v>
      </c>
      <c r="H19">
        <v>0</v>
      </c>
      <c r="I19">
        <v>0</v>
      </c>
      <c r="J19">
        <v>0</v>
      </c>
      <c r="K19">
        <v>12840</v>
      </c>
      <c r="L19">
        <v>9305</v>
      </c>
      <c r="M19">
        <v>6922</v>
      </c>
      <c r="N19">
        <v>3535</v>
      </c>
      <c r="O19">
        <v>248786</v>
      </c>
      <c r="P19">
        <v>80405</v>
      </c>
      <c r="Q19">
        <v>77930</v>
      </c>
      <c r="R19">
        <v>168380</v>
      </c>
    </row>
    <row r="20" spans="1:18">
      <c r="A20">
        <v>18</v>
      </c>
      <c r="B20" t="s">
        <v>18</v>
      </c>
      <c r="C20">
        <v>13651</v>
      </c>
      <c r="D20">
        <v>589824</v>
      </c>
      <c r="E20">
        <v>1310622</v>
      </c>
      <c r="F20">
        <v>0</v>
      </c>
      <c r="G20">
        <v>0</v>
      </c>
      <c r="H20">
        <v>0</v>
      </c>
      <c r="I20">
        <v>0</v>
      </c>
      <c r="J20">
        <v>0</v>
      </c>
      <c r="K20">
        <v>76068</v>
      </c>
      <c r="L20">
        <v>65564</v>
      </c>
      <c r="M20">
        <v>61617</v>
      </c>
      <c r="N20">
        <v>10504</v>
      </c>
      <c r="O20">
        <v>843713</v>
      </c>
      <c r="P20">
        <v>233850</v>
      </c>
      <c r="Q20">
        <v>231842</v>
      </c>
      <c r="R20">
        <v>609863</v>
      </c>
    </row>
    <row r="21" spans="1:18">
      <c r="A21">
        <v>19</v>
      </c>
      <c r="B21" t="s">
        <v>19</v>
      </c>
      <c r="C21">
        <v>4338</v>
      </c>
      <c r="D21">
        <v>41472</v>
      </c>
      <c r="E21">
        <v>416499</v>
      </c>
      <c r="F21">
        <v>0</v>
      </c>
      <c r="G21">
        <v>0</v>
      </c>
      <c r="H21">
        <v>0</v>
      </c>
      <c r="I21">
        <v>0</v>
      </c>
      <c r="J21">
        <v>0</v>
      </c>
      <c r="K21">
        <v>12840</v>
      </c>
      <c r="L21">
        <v>9321</v>
      </c>
      <c r="M21">
        <v>8428</v>
      </c>
      <c r="N21">
        <v>3519</v>
      </c>
      <c r="O21">
        <v>248945</v>
      </c>
      <c r="P21">
        <v>78732</v>
      </c>
      <c r="Q21">
        <v>77760</v>
      </c>
      <c r="R21">
        <v>170212</v>
      </c>
    </row>
    <row r="22" spans="1:18">
      <c r="A22">
        <v>20</v>
      </c>
      <c r="B22" t="s">
        <v>18</v>
      </c>
      <c r="C22">
        <v>13648</v>
      </c>
      <c r="D22">
        <v>589824</v>
      </c>
      <c r="E22">
        <v>1310304</v>
      </c>
      <c r="F22">
        <v>0</v>
      </c>
      <c r="G22">
        <v>0</v>
      </c>
      <c r="H22">
        <v>0</v>
      </c>
      <c r="I22">
        <v>0</v>
      </c>
      <c r="J22">
        <v>0</v>
      </c>
      <c r="K22">
        <v>76068</v>
      </c>
      <c r="L22">
        <v>65519</v>
      </c>
      <c r="M22">
        <v>61601</v>
      </c>
      <c r="N22">
        <v>10549</v>
      </c>
      <c r="O22">
        <v>843749</v>
      </c>
      <c r="P22">
        <v>233849</v>
      </c>
      <c r="Q22">
        <v>231874</v>
      </c>
      <c r="R22">
        <v>609900</v>
      </c>
    </row>
    <row r="23" spans="1:18">
      <c r="A23">
        <v>21</v>
      </c>
      <c r="B23" t="s">
        <v>19</v>
      </c>
      <c r="C23">
        <v>4198</v>
      </c>
      <c r="D23">
        <v>41472</v>
      </c>
      <c r="E23">
        <v>402999</v>
      </c>
      <c r="F23">
        <v>0</v>
      </c>
      <c r="G23">
        <v>0</v>
      </c>
      <c r="H23">
        <v>0</v>
      </c>
      <c r="I23">
        <v>0</v>
      </c>
      <c r="J23">
        <v>0</v>
      </c>
      <c r="K23">
        <v>12840</v>
      </c>
      <c r="L23">
        <v>9116</v>
      </c>
      <c r="M23">
        <v>8999</v>
      </c>
      <c r="N23">
        <v>3724</v>
      </c>
      <c r="O23">
        <v>248986</v>
      </c>
      <c r="P23">
        <v>80116</v>
      </c>
      <c r="Q23">
        <v>79924</v>
      </c>
      <c r="R23">
        <v>168869</v>
      </c>
    </row>
    <row r="24" spans="1:18">
      <c r="A24">
        <v>22</v>
      </c>
      <c r="B24" t="s">
        <v>18</v>
      </c>
      <c r="C24">
        <v>13664</v>
      </c>
      <c r="D24">
        <v>589824</v>
      </c>
      <c r="E24">
        <v>1311770</v>
      </c>
      <c r="F24">
        <v>0</v>
      </c>
      <c r="G24">
        <v>0</v>
      </c>
      <c r="H24">
        <v>0</v>
      </c>
      <c r="I24">
        <v>0</v>
      </c>
      <c r="J24">
        <v>0</v>
      </c>
      <c r="K24">
        <v>76068</v>
      </c>
      <c r="L24">
        <v>66800</v>
      </c>
      <c r="M24">
        <v>63089</v>
      </c>
      <c r="N24">
        <v>9268</v>
      </c>
      <c r="O24">
        <v>843677</v>
      </c>
      <c r="P24">
        <v>233422</v>
      </c>
      <c r="Q24">
        <v>231005</v>
      </c>
      <c r="R24">
        <v>610255</v>
      </c>
    </row>
    <row r="25" spans="1:18">
      <c r="A25">
        <v>23</v>
      </c>
      <c r="B25" t="s">
        <v>19</v>
      </c>
      <c r="C25">
        <v>1080</v>
      </c>
      <c r="D25">
        <v>10368</v>
      </c>
      <c r="E25">
        <v>103771</v>
      </c>
      <c r="F25">
        <v>0</v>
      </c>
      <c r="G25">
        <v>0</v>
      </c>
      <c r="H25">
        <v>0</v>
      </c>
      <c r="I25">
        <v>0</v>
      </c>
      <c r="J25">
        <v>0</v>
      </c>
      <c r="K25">
        <v>3240</v>
      </c>
      <c r="L25">
        <v>2328</v>
      </c>
      <c r="M25">
        <v>2211</v>
      </c>
      <c r="N25">
        <v>912</v>
      </c>
      <c r="O25">
        <v>62937</v>
      </c>
      <c r="P25">
        <v>20449</v>
      </c>
      <c r="Q25">
        <v>20284</v>
      </c>
      <c r="R25">
        <v>42487</v>
      </c>
    </row>
    <row r="26" spans="1:18">
      <c r="A26">
        <v>24</v>
      </c>
      <c r="B26" t="s">
        <v>18</v>
      </c>
      <c r="C26">
        <v>8257</v>
      </c>
      <c r="D26">
        <v>294912</v>
      </c>
      <c r="E26">
        <v>792806</v>
      </c>
      <c r="F26">
        <v>0</v>
      </c>
      <c r="G26">
        <v>0</v>
      </c>
      <c r="H26">
        <v>0</v>
      </c>
      <c r="I26">
        <v>0</v>
      </c>
      <c r="J26">
        <v>0</v>
      </c>
      <c r="K26">
        <v>42276</v>
      </c>
      <c r="L26">
        <v>11320</v>
      </c>
      <c r="M26">
        <v>638</v>
      </c>
      <c r="N26">
        <v>30956</v>
      </c>
      <c r="O26">
        <v>447746</v>
      </c>
      <c r="P26">
        <v>125455</v>
      </c>
      <c r="Q26">
        <v>124532</v>
      </c>
      <c r="R26">
        <v>322291</v>
      </c>
    </row>
    <row r="27" spans="1:18">
      <c r="A27">
        <v>25</v>
      </c>
      <c r="B27" t="s">
        <v>19</v>
      </c>
      <c r="C27">
        <v>1962</v>
      </c>
      <c r="D27">
        <v>20736</v>
      </c>
      <c r="E27">
        <v>188455</v>
      </c>
      <c r="F27">
        <v>0</v>
      </c>
      <c r="G27">
        <v>0</v>
      </c>
      <c r="H27">
        <v>0</v>
      </c>
      <c r="I27">
        <v>0</v>
      </c>
      <c r="J27">
        <v>0</v>
      </c>
      <c r="K27">
        <v>5480</v>
      </c>
      <c r="L27">
        <v>3448</v>
      </c>
      <c r="M27">
        <v>3227</v>
      </c>
      <c r="N27">
        <v>2032</v>
      </c>
      <c r="O27">
        <v>113465</v>
      </c>
      <c r="P27">
        <v>36723</v>
      </c>
      <c r="Q27">
        <v>36522</v>
      </c>
      <c r="R27">
        <v>76741</v>
      </c>
    </row>
    <row r="28" spans="1:18">
      <c r="A28">
        <v>26</v>
      </c>
      <c r="B28" t="s">
        <v>18</v>
      </c>
      <c r="C28">
        <v>15085</v>
      </c>
      <c r="D28">
        <v>589824</v>
      </c>
      <c r="E28">
        <v>1448336</v>
      </c>
      <c r="F28">
        <v>0</v>
      </c>
      <c r="G28">
        <v>0</v>
      </c>
      <c r="H28">
        <v>0</v>
      </c>
      <c r="I28">
        <v>0</v>
      </c>
      <c r="J28">
        <v>0</v>
      </c>
      <c r="K28">
        <v>83236</v>
      </c>
      <c r="L28">
        <v>21857</v>
      </c>
      <c r="M28">
        <v>889</v>
      </c>
      <c r="N28">
        <v>61379</v>
      </c>
      <c r="O28">
        <v>822018</v>
      </c>
      <c r="P28">
        <v>223856</v>
      </c>
      <c r="Q28">
        <v>222375</v>
      </c>
      <c r="R28">
        <v>598162</v>
      </c>
    </row>
    <row r="29" spans="1:18">
      <c r="A29">
        <v>27</v>
      </c>
      <c r="B29" t="s">
        <v>20</v>
      </c>
      <c r="C29">
        <v>289</v>
      </c>
      <c r="D29">
        <v>0</v>
      </c>
      <c r="E29">
        <v>27747</v>
      </c>
      <c r="F29">
        <v>0</v>
      </c>
      <c r="G29">
        <v>0</v>
      </c>
      <c r="H29">
        <v>0</v>
      </c>
      <c r="I29">
        <v>0</v>
      </c>
      <c r="J29">
        <v>0</v>
      </c>
      <c r="K29">
        <v>25</v>
      </c>
      <c r="L29">
        <v>17</v>
      </c>
      <c r="M29">
        <v>8</v>
      </c>
      <c r="N29">
        <v>8</v>
      </c>
      <c r="O29">
        <v>14024</v>
      </c>
      <c r="P29">
        <v>3774</v>
      </c>
      <c r="Q29">
        <v>3664</v>
      </c>
      <c r="R29">
        <v>10249</v>
      </c>
    </row>
    <row r="30" spans="1:18">
      <c r="A30">
        <v>28</v>
      </c>
      <c r="B30" t="s">
        <v>21</v>
      </c>
      <c r="C30">
        <v>15</v>
      </c>
      <c r="D30">
        <v>0</v>
      </c>
      <c r="E30">
        <v>1434</v>
      </c>
      <c r="F30">
        <v>0</v>
      </c>
      <c r="G30">
        <v>0</v>
      </c>
      <c r="H30">
        <v>0</v>
      </c>
      <c r="I30">
        <v>0</v>
      </c>
      <c r="J30">
        <v>0</v>
      </c>
      <c r="K30">
        <v>18</v>
      </c>
      <c r="L30">
        <v>13</v>
      </c>
      <c r="M30">
        <v>10</v>
      </c>
      <c r="N30">
        <v>5</v>
      </c>
      <c r="O30">
        <v>369</v>
      </c>
      <c r="P30">
        <v>136</v>
      </c>
      <c r="Q30">
        <v>104</v>
      </c>
      <c r="R30">
        <v>233</v>
      </c>
    </row>
    <row r="31" spans="1:18">
      <c r="A31">
        <v>29</v>
      </c>
      <c r="B31" t="s">
        <v>22</v>
      </c>
      <c r="C31">
        <v>41</v>
      </c>
      <c r="D31">
        <v>512</v>
      </c>
      <c r="E31">
        <v>3950</v>
      </c>
      <c r="F31">
        <v>0</v>
      </c>
      <c r="G31">
        <v>0</v>
      </c>
      <c r="H31">
        <v>0</v>
      </c>
      <c r="I31">
        <v>0</v>
      </c>
      <c r="J31">
        <v>0</v>
      </c>
      <c r="K31">
        <v>155</v>
      </c>
      <c r="L31">
        <v>58</v>
      </c>
      <c r="M31">
        <v>20</v>
      </c>
      <c r="N31">
        <v>97</v>
      </c>
      <c r="O31">
        <v>1484</v>
      </c>
      <c r="P31">
        <v>449</v>
      </c>
      <c r="Q31">
        <v>342</v>
      </c>
      <c r="R31">
        <v>1035</v>
      </c>
    </row>
    <row r="32" spans="1:18">
      <c r="A32">
        <v>30</v>
      </c>
      <c r="B32" t="s">
        <v>23</v>
      </c>
      <c r="C32">
        <v>33</v>
      </c>
      <c r="D32">
        <v>0</v>
      </c>
      <c r="E32">
        <v>3248</v>
      </c>
      <c r="F32">
        <v>0</v>
      </c>
      <c r="G32">
        <v>0</v>
      </c>
      <c r="H32">
        <v>0</v>
      </c>
      <c r="I32">
        <v>0</v>
      </c>
      <c r="J32">
        <v>0</v>
      </c>
      <c r="K32">
        <v>12</v>
      </c>
      <c r="L32">
        <v>10</v>
      </c>
      <c r="M32">
        <v>9</v>
      </c>
      <c r="N32">
        <v>2</v>
      </c>
      <c r="O32">
        <v>1085</v>
      </c>
      <c r="P32">
        <v>315</v>
      </c>
      <c r="Q32">
        <v>168</v>
      </c>
      <c r="R32">
        <v>770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t="s">
        <v>24</v>
      </c>
      <c r="B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32"/>
  <sheetViews>
    <sheetView workbookViewId="0"/>
  </sheetViews>
  <sheetFormatPr defaultRowHeight="15"/>
  <cols>
    <col min="15" max="15" width="9.140625" style="1"/>
    <col min="17" max="17" width="9.140625" style="1"/>
    <col min="21" max="23" width="9.140625" style="1"/>
    <col min="29" max="32" width="9.140625" style="1"/>
  </cols>
  <sheetData>
    <row r="1" spans="1:33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s="1" t="s">
        <v>39</v>
      </c>
      <c r="P1" t="s">
        <v>40</v>
      </c>
      <c r="Q1" s="1" t="s">
        <v>41</v>
      </c>
      <c r="R1" t="s">
        <v>42</v>
      </c>
      <c r="S1" t="s">
        <v>43</v>
      </c>
      <c r="T1" t="s">
        <v>44</v>
      </c>
      <c r="U1" s="1" t="s">
        <v>45</v>
      </c>
      <c r="V1" s="1" t="s">
        <v>46</v>
      </c>
      <c r="W1" s="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s="1" t="s">
        <v>53</v>
      </c>
      <c r="AD1" s="1" t="s">
        <v>54</v>
      </c>
      <c r="AE1" s="1" t="s">
        <v>55</v>
      </c>
      <c r="AF1" s="1" t="s">
        <v>56</v>
      </c>
      <c r="AG1" t="s">
        <v>57</v>
      </c>
    </row>
    <row r="2" spans="1:33">
      <c r="A2">
        <v>0</v>
      </c>
      <c r="C2">
        <v>0</v>
      </c>
      <c r="D2">
        <v>0</v>
      </c>
      <c r="E2">
        <v>0</v>
      </c>
      <c r="F2">
        <v>8</v>
      </c>
      <c r="G2">
        <v>1</v>
      </c>
      <c r="H2">
        <f>None*CoreMHz</f>
        <v>0</v>
      </c>
      <c r="I2">
        <f>IF(AND(None&gt;0,H2&gt;0),None/H2,"")</f>
        <v>0</v>
      </c>
      <c r="J2">
        <f>IF(None&gt;0,None/(None/1E6),"")</f>
        <v>0</v>
      </c>
      <c r="K2">
        <f>IF(None&gt;0,None/H2/8,"")</f>
        <v>0</v>
      </c>
      <c r="L2">
        <f>IF(None&gt;0,None/H2/16,"")</f>
        <v>0</v>
      </c>
      <c r="M2">
        <f>IF(None&gt;0,None/H2/32,"")</f>
        <v>0</v>
      </c>
      <c r="N2">
        <f>IF(F2=8,8,IF(F2=16,4,IF(F2=32,2,"")))</f>
        <v>32</v>
      </c>
      <c r="O2" s="1">
        <f>IF(AND(None&gt;0,H2&gt;0,N2&lt;&gt;""),None/H2/N2,"")</f>
        <v>0</v>
      </c>
      <c r="X2">
        <f>0</f>
        <v>0</v>
      </c>
      <c r="Y2">
        <f>0</f>
        <v>0</v>
      </c>
      <c r="Z2">
        <f>0</f>
        <v>0</v>
      </c>
      <c r="AA2">
        <f>0</f>
        <v>0</v>
      </c>
      <c r="AG2">
        <f>IF(O2&lt;0.25,"Compute under-utilized",IF(AND(NOT(ISBLANK(AA2)),AA2&lt;0.5,NOT(ISBLANK(S2)),S2&lt;0.85),"Memory-bound",IF(OR(IFERROR(U2,0)&gt;0.20,IFERROR(T2,1)&lt;0.85),"Frontend stalls",IF(IFERROR(V2,0)&gt;0.25,"LSU stalls",IF(AND(IFERROR(AB2,"")="Elementwise",IFERROR(AC2,0)&gt;0.10),"Elementwise hotspot","")))))</f>
        <v>0</v>
      </c>
    </row>
    <row r="3" spans="1:33">
      <c r="A3">
        <v>1</v>
      </c>
      <c r="C3">
        <v>0</v>
      </c>
      <c r="D3">
        <v>0</v>
      </c>
      <c r="E3">
        <v>0</v>
      </c>
      <c r="F3">
        <v>8</v>
      </c>
      <c r="G3">
        <v>1</v>
      </c>
      <c r="H3">
        <f>None*CoreMHz</f>
        <v>0</v>
      </c>
      <c r="I3">
        <f>IF(AND(None&gt;0,H3&gt;0),None/H3,"")</f>
        <v>0</v>
      </c>
      <c r="J3">
        <f>IF(None&gt;0,None/(None/1E6),"")</f>
        <v>0</v>
      </c>
      <c r="K3">
        <f>IF(None&gt;0,None/H3/8,"")</f>
        <v>0</v>
      </c>
      <c r="L3">
        <f>IF(None&gt;0,None/H3/16,"")</f>
        <v>0</v>
      </c>
      <c r="M3">
        <f>IF(None&gt;0,None/H3/32,"")</f>
        <v>0</v>
      </c>
      <c r="N3">
        <f>IF(F3=8,8,IF(F3=16,4,IF(F3=32,2,"")))</f>
        <v>32</v>
      </c>
      <c r="O3" s="1">
        <f>IF(AND(None&gt;0,H3&gt;0,N3&lt;&gt;""),None/H3/N3,"")</f>
        <v>0</v>
      </c>
      <c r="X3">
        <f>0</f>
        <v>0</v>
      </c>
      <c r="Y3">
        <f>0</f>
        <v>0</v>
      </c>
      <c r="Z3">
        <f>0</f>
        <v>0</v>
      </c>
      <c r="AA3">
        <f>0</f>
        <v>0</v>
      </c>
      <c r="AG3">
        <f>IF(O3&lt;0.25,"Compute under-utilized",IF(AND(NOT(ISBLANK(AA3)),AA3&lt;0.5,NOT(ISBLANK(S3)),S3&lt;0.85),"Memory-bound",IF(OR(IFERROR(U3,0)&gt;0.20,IFERROR(T3,1)&lt;0.85),"Frontend stalls",IF(IFERROR(V3,0)&gt;0.25,"LSU stalls",IF(AND(IFERROR(AB3,"")="Elementwise",IFERROR(AC3,0)&gt;0.10),"Elementwise hotspot","")))))</f>
        <v>0</v>
      </c>
    </row>
    <row r="4" spans="1:33">
      <c r="A4">
        <v>2</v>
      </c>
      <c r="C4">
        <v>0</v>
      </c>
      <c r="D4">
        <v>0</v>
      </c>
      <c r="E4">
        <v>0</v>
      </c>
      <c r="F4">
        <v>8</v>
      </c>
      <c r="G4">
        <v>1</v>
      </c>
      <c r="H4">
        <f>None*CoreMHz</f>
        <v>0</v>
      </c>
      <c r="I4">
        <f>IF(AND(None&gt;0,H4&gt;0),None/H4,"")</f>
        <v>0</v>
      </c>
      <c r="J4">
        <f>IF(None&gt;0,None/(None/1E6),"")</f>
        <v>0</v>
      </c>
      <c r="K4">
        <f>IF(None&gt;0,None/H4/8,"")</f>
        <v>0</v>
      </c>
      <c r="L4">
        <f>IF(None&gt;0,None/H4/16,"")</f>
        <v>0</v>
      </c>
      <c r="M4">
        <f>IF(None&gt;0,None/H4/32,"")</f>
        <v>0</v>
      </c>
      <c r="N4">
        <f>IF(F4=8,8,IF(F4=16,4,IF(F4=32,2,"")))</f>
        <v>32</v>
      </c>
      <c r="O4" s="1">
        <f>IF(AND(None&gt;0,H4&gt;0,N4&lt;&gt;""),None/H4/N4,"")</f>
        <v>0</v>
      </c>
      <c r="X4">
        <f>0</f>
        <v>0</v>
      </c>
      <c r="Y4">
        <f>0</f>
        <v>0</v>
      </c>
      <c r="Z4">
        <f>0</f>
        <v>0</v>
      </c>
      <c r="AA4">
        <f>0</f>
        <v>0</v>
      </c>
      <c r="AG4">
        <f>IF(O4&lt;0.25,"Compute under-utilized",IF(AND(NOT(ISBLANK(AA4)),AA4&lt;0.5,NOT(ISBLANK(S4)),S4&lt;0.85),"Memory-bound",IF(OR(IFERROR(U4,0)&gt;0.20,IFERROR(T4,1)&lt;0.85),"Frontend stalls",IF(IFERROR(V4,0)&gt;0.25,"LSU stalls",IF(AND(IFERROR(AB4,"")="Elementwise",IFERROR(AC4,0)&gt;0.10),"Elementwise hotspot","")))))</f>
        <v>0</v>
      </c>
    </row>
    <row r="5" spans="1:33">
      <c r="A5">
        <v>3</v>
      </c>
      <c r="C5">
        <v>0</v>
      </c>
      <c r="D5">
        <v>0</v>
      </c>
      <c r="E5">
        <v>0</v>
      </c>
      <c r="F5">
        <v>8</v>
      </c>
      <c r="G5">
        <v>1</v>
      </c>
      <c r="H5">
        <f>None*CoreMHz</f>
        <v>0</v>
      </c>
      <c r="I5">
        <f>IF(AND(None&gt;0,H5&gt;0),None/H5,"")</f>
        <v>0</v>
      </c>
      <c r="J5">
        <f>IF(None&gt;0,None/(None/1E6),"")</f>
        <v>0</v>
      </c>
      <c r="K5">
        <f>IF(None&gt;0,None/H5/8,"")</f>
        <v>0</v>
      </c>
      <c r="L5">
        <f>IF(None&gt;0,None/H5/16,"")</f>
        <v>0</v>
      </c>
      <c r="M5">
        <f>IF(None&gt;0,None/H5/32,"")</f>
        <v>0</v>
      </c>
      <c r="N5">
        <f>IF(F5=8,8,IF(F5=16,4,IF(F5=32,2,"")))</f>
        <v>32</v>
      </c>
      <c r="O5" s="1">
        <f>IF(AND(None&gt;0,H5&gt;0,N5&lt;&gt;""),None/H5/N5,"")</f>
        <v>0</v>
      </c>
      <c r="X5">
        <f>0</f>
        <v>0</v>
      </c>
      <c r="Y5">
        <f>0</f>
        <v>0</v>
      </c>
      <c r="Z5">
        <f>0</f>
        <v>0</v>
      </c>
      <c r="AA5">
        <f>0</f>
        <v>0</v>
      </c>
      <c r="AG5">
        <f>IF(O5&lt;0.25,"Compute under-utilized",IF(AND(NOT(ISBLANK(AA5)),AA5&lt;0.5,NOT(ISBLANK(S5)),S5&lt;0.85),"Memory-bound",IF(OR(IFERROR(U5,0)&gt;0.20,IFERROR(T5,1)&lt;0.85),"Frontend stalls",IF(IFERROR(V5,0)&gt;0.25,"LSU stalls",IF(AND(IFERROR(AB5,"")="Elementwise",IFERROR(AC5,0)&gt;0.10),"Elementwise hotspot","")))))</f>
        <v>0</v>
      </c>
    </row>
    <row r="6" spans="1:33">
      <c r="A6">
        <v>4</v>
      </c>
      <c r="C6">
        <v>0</v>
      </c>
      <c r="D6">
        <v>0</v>
      </c>
      <c r="E6">
        <v>0</v>
      </c>
      <c r="F6">
        <v>8</v>
      </c>
      <c r="G6">
        <v>1</v>
      </c>
      <c r="H6">
        <f>None*CoreMHz</f>
        <v>0</v>
      </c>
      <c r="I6">
        <f>IF(AND(None&gt;0,H6&gt;0),None/H6,"")</f>
        <v>0</v>
      </c>
      <c r="J6">
        <f>IF(None&gt;0,None/(None/1E6),"")</f>
        <v>0</v>
      </c>
      <c r="K6">
        <f>IF(None&gt;0,None/H6/8,"")</f>
        <v>0</v>
      </c>
      <c r="L6">
        <f>IF(None&gt;0,None/H6/16,"")</f>
        <v>0</v>
      </c>
      <c r="M6">
        <f>IF(None&gt;0,None/H6/32,"")</f>
        <v>0</v>
      </c>
      <c r="N6">
        <f>IF(F6=8,8,IF(F6=16,4,IF(F6=32,2,"")))</f>
        <v>32</v>
      </c>
      <c r="O6" s="1">
        <f>IF(AND(None&gt;0,H6&gt;0,N6&lt;&gt;""),None/H6/N6,"")</f>
        <v>0</v>
      </c>
      <c r="X6">
        <f>0</f>
        <v>0</v>
      </c>
      <c r="Y6">
        <f>0</f>
        <v>0</v>
      </c>
      <c r="Z6">
        <f>0</f>
        <v>0</v>
      </c>
      <c r="AA6">
        <f>0</f>
        <v>0</v>
      </c>
      <c r="AG6">
        <f>IF(O6&lt;0.25,"Compute under-utilized",IF(AND(NOT(ISBLANK(AA6)),AA6&lt;0.5,NOT(ISBLANK(S6)),S6&lt;0.85),"Memory-bound",IF(OR(IFERROR(U6,0)&gt;0.20,IFERROR(T6,1)&lt;0.85),"Frontend stalls",IF(IFERROR(V6,0)&gt;0.25,"LSU stalls",IF(AND(IFERROR(AB6,"")="Elementwise",IFERROR(AC6,0)&gt;0.10),"Elementwise hotspot","")))))</f>
        <v>0</v>
      </c>
    </row>
    <row r="7" spans="1:33">
      <c r="A7">
        <v>5</v>
      </c>
      <c r="C7">
        <v>0</v>
      </c>
      <c r="D7">
        <v>0</v>
      </c>
      <c r="E7">
        <v>0</v>
      </c>
      <c r="F7">
        <v>8</v>
      </c>
      <c r="G7">
        <v>1</v>
      </c>
      <c r="H7">
        <f>None*CoreMHz</f>
        <v>0</v>
      </c>
      <c r="I7">
        <f>IF(AND(None&gt;0,H7&gt;0),None/H7,"")</f>
        <v>0</v>
      </c>
      <c r="J7">
        <f>IF(None&gt;0,None/(None/1E6),"")</f>
        <v>0</v>
      </c>
      <c r="K7">
        <f>IF(None&gt;0,None/H7/8,"")</f>
        <v>0</v>
      </c>
      <c r="L7">
        <f>IF(None&gt;0,None/H7/16,"")</f>
        <v>0</v>
      </c>
      <c r="M7">
        <f>IF(None&gt;0,None/H7/32,"")</f>
        <v>0</v>
      </c>
      <c r="N7">
        <f>IF(F7=8,8,IF(F7=16,4,IF(F7=32,2,"")))</f>
        <v>32</v>
      </c>
      <c r="O7" s="1">
        <f>IF(AND(None&gt;0,H7&gt;0,N7&lt;&gt;""),None/H7/N7,"")</f>
        <v>0</v>
      </c>
      <c r="X7">
        <f>0</f>
        <v>0</v>
      </c>
      <c r="Y7">
        <f>0</f>
        <v>0</v>
      </c>
      <c r="Z7">
        <f>0</f>
        <v>0</v>
      </c>
      <c r="AA7">
        <f>0</f>
        <v>0</v>
      </c>
      <c r="AG7">
        <f>IF(O7&lt;0.25,"Compute under-utilized",IF(AND(NOT(ISBLANK(AA7)),AA7&lt;0.5,NOT(ISBLANK(S7)),S7&lt;0.85),"Memory-bound",IF(OR(IFERROR(U7,0)&gt;0.20,IFERROR(T7,1)&lt;0.85),"Frontend stalls",IF(IFERROR(V7,0)&gt;0.25,"LSU stalls",IF(AND(IFERROR(AB7,"")="Elementwise",IFERROR(AC7,0)&gt;0.10),"Elementwise hotspot","")))))</f>
        <v>0</v>
      </c>
    </row>
    <row r="8" spans="1:33">
      <c r="A8">
        <v>6</v>
      </c>
      <c r="C8">
        <v>0</v>
      </c>
      <c r="D8">
        <v>0</v>
      </c>
      <c r="E8">
        <v>0</v>
      </c>
      <c r="F8">
        <v>8</v>
      </c>
      <c r="G8">
        <v>1</v>
      </c>
      <c r="H8">
        <f>None*CoreMHz</f>
        <v>0</v>
      </c>
      <c r="I8">
        <f>IF(AND(None&gt;0,H8&gt;0),None/H8,"")</f>
        <v>0</v>
      </c>
      <c r="J8">
        <f>IF(None&gt;0,None/(None/1E6),"")</f>
        <v>0</v>
      </c>
      <c r="K8">
        <f>IF(None&gt;0,None/H8/8,"")</f>
        <v>0</v>
      </c>
      <c r="L8">
        <f>IF(None&gt;0,None/H8/16,"")</f>
        <v>0</v>
      </c>
      <c r="M8">
        <f>IF(None&gt;0,None/H8/32,"")</f>
        <v>0</v>
      </c>
      <c r="N8">
        <f>IF(F8=8,8,IF(F8=16,4,IF(F8=32,2,"")))</f>
        <v>32</v>
      </c>
      <c r="O8" s="1">
        <f>IF(AND(None&gt;0,H8&gt;0,N8&lt;&gt;""),None/H8/N8,"")</f>
        <v>0</v>
      </c>
      <c r="X8">
        <f>0</f>
        <v>0</v>
      </c>
      <c r="Y8">
        <f>0</f>
        <v>0</v>
      </c>
      <c r="Z8">
        <f>0</f>
        <v>0</v>
      </c>
      <c r="AA8">
        <f>0</f>
        <v>0</v>
      </c>
      <c r="AG8">
        <f>IF(O8&lt;0.25,"Compute under-utilized",IF(AND(NOT(ISBLANK(AA8)),AA8&lt;0.5,NOT(ISBLANK(S8)),S8&lt;0.85),"Memory-bound",IF(OR(IFERROR(U8,0)&gt;0.20,IFERROR(T8,1)&lt;0.85),"Frontend stalls",IF(IFERROR(V8,0)&gt;0.25,"LSU stalls",IF(AND(IFERROR(AB8,"")="Elementwise",IFERROR(AC8,0)&gt;0.10),"Elementwise hotspot","")))))</f>
        <v>0</v>
      </c>
    </row>
    <row r="9" spans="1:33">
      <c r="A9">
        <v>7</v>
      </c>
      <c r="C9">
        <v>0</v>
      </c>
      <c r="D9">
        <v>0</v>
      </c>
      <c r="E9">
        <v>0</v>
      </c>
      <c r="F9">
        <v>8</v>
      </c>
      <c r="G9">
        <v>1</v>
      </c>
      <c r="H9">
        <f>None*CoreMHz</f>
        <v>0</v>
      </c>
      <c r="I9">
        <f>IF(AND(None&gt;0,H9&gt;0),None/H9,"")</f>
        <v>0</v>
      </c>
      <c r="J9">
        <f>IF(None&gt;0,None/(None/1E6),"")</f>
        <v>0</v>
      </c>
      <c r="K9">
        <f>IF(None&gt;0,None/H9/8,"")</f>
        <v>0</v>
      </c>
      <c r="L9">
        <f>IF(None&gt;0,None/H9/16,"")</f>
        <v>0</v>
      </c>
      <c r="M9">
        <f>IF(None&gt;0,None/H9/32,"")</f>
        <v>0</v>
      </c>
      <c r="N9">
        <f>IF(F9=8,8,IF(F9=16,4,IF(F9=32,2,"")))</f>
        <v>32</v>
      </c>
      <c r="O9" s="1">
        <f>IF(AND(None&gt;0,H9&gt;0,N9&lt;&gt;""),None/H9/N9,"")</f>
        <v>0</v>
      </c>
      <c r="X9">
        <f>0</f>
        <v>0</v>
      </c>
      <c r="Y9">
        <f>0</f>
        <v>0</v>
      </c>
      <c r="Z9">
        <f>0</f>
        <v>0</v>
      </c>
      <c r="AA9">
        <f>0</f>
        <v>0</v>
      </c>
      <c r="AG9">
        <f>IF(O9&lt;0.25,"Compute under-utilized",IF(AND(NOT(ISBLANK(AA9)),AA9&lt;0.5,NOT(ISBLANK(S9)),S9&lt;0.85),"Memory-bound",IF(OR(IFERROR(U9,0)&gt;0.20,IFERROR(T9,1)&lt;0.85),"Frontend stalls",IF(IFERROR(V9,0)&gt;0.25,"LSU stalls",IF(AND(IFERROR(AB9,"")="Elementwise",IFERROR(AC9,0)&gt;0.10),"Elementwise hotspot","")))))</f>
        <v>0</v>
      </c>
    </row>
    <row r="10" spans="1:33">
      <c r="A10">
        <v>8</v>
      </c>
      <c r="C10">
        <v>0</v>
      </c>
      <c r="D10">
        <v>0</v>
      </c>
      <c r="E10">
        <v>0</v>
      </c>
      <c r="F10">
        <v>8</v>
      </c>
      <c r="G10">
        <v>1</v>
      </c>
      <c r="H10">
        <f>None*CoreMHz</f>
        <v>0</v>
      </c>
      <c r="I10">
        <f>IF(AND(None&gt;0,H10&gt;0),None/H10,"")</f>
        <v>0</v>
      </c>
      <c r="J10">
        <f>IF(None&gt;0,None/(None/1E6),"")</f>
        <v>0</v>
      </c>
      <c r="K10">
        <f>IF(None&gt;0,None/H10/8,"")</f>
        <v>0</v>
      </c>
      <c r="L10">
        <f>IF(None&gt;0,None/H10/16,"")</f>
        <v>0</v>
      </c>
      <c r="M10">
        <f>IF(None&gt;0,None/H10/32,"")</f>
        <v>0</v>
      </c>
      <c r="N10">
        <f>IF(F10=8,8,IF(F10=16,4,IF(F10=32,2,"")))</f>
        <v>32</v>
      </c>
      <c r="O10" s="1">
        <f>IF(AND(None&gt;0,H10&gt;0,N10&lt;&gt;""),None/H10/N10,"")</f>
        <v>0</v>
      </c>
      <c r="X10">
        <f>0</f>
        <v>0</v>
      </c>
      <c r="Y10">
        <f>0</f>
        <v>0</v>
      </c>
      <c r="Z10">
        <f>0</f>
        <v>0</v>
      </c>
      <c r="AA10">
        <f>0</f>
        <v>0</v>
      </c>
      <c r="AG10">
        <f>IF(O10&lt;0.25,"Compute under-utilized",IF(AND(NOT(ISBLANK(AA10)),AA10&lt;0.5,NOT(ISBLANK(S10)),S10&lt;0.85),"Memory-bound",IF(OR(IFERROR(U10,0)&gt;0.20,IFERROR(T10,1)&lt;0.85),"Frontend stalls",IF(IFERROR(V10,0)&gt;0.25,"LSU stalls",IF(AND(IFERROR(AB10,"")="Elementwise",IFERROR(AC10,0)&gt;0.10),"Elementwise hotspot","")))))</f>
        <v>0</v>
      </c>
    </row>
    <row r="11" spans="1:33">
      <c r="A11">
        <v>9</v>
      </c>
      <c r="C11">
        <v>0</v>
      </c>
      <c r="D11">
        <v>0</v>
      </c>
      <c r="E11">
        <v>0</v>
      </c>
      <c r="F11">
        <v>8</v>
      </c>
      <c r="G11">
        <v>1</v>
      </c>
      <c r="H11">
        <f>None*CoreMHz</f>
        <v>0</v>
      </c>
      <c r="I11">
        <f>IF(AND(None&gt;0,H11&gt;0),None/H11,"")</f>
        <v>0</v>
      </c>
      <c r="J11">
        <f>IF(None&gt;0,None/(None/1E6),"")</f>
        <v>0</v>
      </c>
      <c r="K11">
        <f>IF(None&gt;0,None/H11/8,"")</f>
        <v>0</v>
      </c>
      <c r="L11">
        <f>IF(None&gt;0,None/H11/16,"")</f>
        <v>0</v>
      </c>
      <c r="M11">
        <f>IF(None&gt;0,None/H11/32,"")</f>
        <v>0</v>
      </c>
      <c r="N11">
        <f>IF(F11=8,8,IF(F11=16,4,IF(F11=32,2,"")))</f>
        <v>32</v>
      </c>
      <c r="O11" s="1">
        <f>IF(AND(None&gt;0,H11&gt;0,N11&lt;&gt;""),None/H11/N11,"")</f>
        <v>0</v>
      </c>
      <c r="X11">
        <f>0</f>
        <v>0</v>
      </c>
      <c r="Y11">
        <f>0</f>
        <v>0</v>
      </c>
      <c r="Z11">
        <f>0</f>
        <v>0</v>
      </c>
      <c r="AA11">
        <f>0</f>
        <v>0</v>
      </c>
      <c r="AG11">
        <f>IF(O11&lt;0.25,"Compute under-utilized",IF(AND(NOT(ISBLANK(AA11)),AA11&lt;0.5,NOT(ISBLANK(S11)),S11&lt;0.85),"Memory-bound",IF(OR(IFERROR(U11,0)&gt;0.20,IFERROR(T11,1)&lt;0.85),"Frontend stalls",IF(IFERROR(V11,0)&gt;0.25,"LSU stalls",IF(AND(IFERROR(AB11,"")="Elementwise",IFERROR(AC11,0)&gt;0.10),"Elementwise hotspot","")))))</f>
        <v>0</v>
      </c>
    </row>
    <row r="12" spans="1:33">
      <c r="A12">
        <v>10</v>
      </c>
      <c r="C12">
        <v>0</v>
      </c>
      <c r="D12">
        <v>0</v>
      </c>
      <c r="E12">
        <v>0</v>
      </c>
      <c r="F12">
        <v>8</v>
      </c>
      <c r="G12">
        <v>1</v>
      </c>
      <c r="H12">
        <f>None*CoreMHz</f>
        <v>0</v>
      </c>
      <c r="I12">
        <f>IF(AND(None&gt;0,H12&gt;0),None/H12,"")</f>
        <v>0</v>
      </c>
      <c r="J12">
        <f>IF(None&gt;0,None/(None/1E6),"")</f>
        <v>0</v>
      </c>
      <c r="K12">
        <f>IF(None&gt;0,None/H12/8,"")</f>
        <v>0</v>
      </c>
      <c r="L12">
        <f>IF(None&gt;0,None/H12/16,"")</f>
        <v>0</v>
      </c>
      <c r="M12">
        <f>IF(None&gt;0,None/H12/32,"")</f>
        <v>0</v>
      </c>
      <c r="N12">
        <f>IF(F12=8,8,IF(F12=16,4,IF(F12=32,2,"")))</f>
        <v>32</v>
      </c>
      <c r="O12" s="1">
        <f>IF(AND(None&gt;0,H12&gt;0,N12&lt;&gt;""),None/H12/N12,"")</f>
        <v>0</v>
      </c>
      <c r="X12">
        <f>0</f>
        <v>0</v>
      </c>
      <c r="Y12">
        <f>0</f>
        <v>0</v>
      </c>
      <c r="Z12">
        <f>0</f>
        <v>0</v>
      </c>
      <c r="AA12">
        <f>0</f>
        <v>0</v>
      </c>
      <c r="AG12">
        <f>IF(O12&lt;0.25,"Compute under-utilized",IF(AND(NOT(ISBLANK(AA12)),AA12&lt;0.5,NOT(ISBLANK(S12)),S12&lt;0.85),"Memory-bound",IF(OR(IFERROR(U12,0)&gt;0.20,IFERROR(T12,1)&lt;0.85),"Frontend stalls",IF(IFERROR(V12,0)&gt;0.25,"LSU stalls",IF(AND(IFERROR(AB12,"")="Elementwise",IFERROR(AC12,0)&gt;0.10),"Elementwise hotspot","")))))</f>
        <v>0</v>
      </c>
    </row>
    <row r="13" spans="1:33">
      <c r="A13">
        <v>11</v>
      </c>
      <c r="C13">
        <v>0</v>
      </c>
      <c r="D13">
        <v>0</v>
      </c>
      <c r="E13">
        <v>0</v>
      </c>
      <c r="F13">
        <v>8</v>
      </c>
      <c r="G13">
        <v>1</v>
      </c>
      <c r="H13">
        <f>None*CoreMHz</f>
        <v>0</v>
      </c>
      <c r="I13">
        <f>IF(AND(None&gt;0,H13&gt;0),None/H13,"")</f>
        <v>0</v>
      </c>
      <c r="J13">
        <f>IF(None&gt;0,None/(None/1E6),"")</f>
        <v>0</v>
      </c>
      <c r="K13">
        <f>IF(None&gt;0,None/H13/8,"")</f>
        <v>0</v>
      </c>
      <c r="L13">
        <f>IF(None&gt;0,None/H13/16,"")</f>
        <v>0</v>
      </c>
      <c r="M13">
        <f>IF(None&gt;0,None/H13/32,"")</f>
        <v>0</v>
      </c>
      <c r="N13">
        <f>IF(F13=8,8,IF(F13=16,4,IF(F13=32,2,"")))</f>
        <v>32</v>
      </c>
      <c r="O13" s="1">
        <f>IF(AND(None&gt;0,H13&gt;0,N13&lt;&gt;""),None/H13/N13,"")</f>
        <v>0</v>
      </c>
      <c r="X13">
        <f>0</f>
        <v>0</v>
      </c>
      <c r="Y13">
        <f>0</f>
        <v>0</v>
      </c>
      <c r="Z13">
        <f>0</f>
        <v>0</v>
      </c>
      <c r="AA13">
        <f>0</f>
        <v>0</v>
      </c>
      <c r="AG13">
        <f>IF(O13&lt;0.25,"Compute under-utilized",IF(AND(NOT(ISBLANK(AA13)),AA13&lt;0.5,NOT(ISBLANK(S13)),S13&lt;0.85),"Memory-bound",IF(OR(IFERROR(U13,0)&gt;0.20,IFERROR(T13,1)&lt;0.85),"Frontend stalls",IF(IFERROR(V13,0)&gt;0.25,"LSU stalls",IF(AND(IFERROR(AB13,"")="Elementwise",IFERROR(AC13,0)&gt;0.10),"Elementwise hotspot","")))))</f>
        <v>0</v>
      </c>
    </row>
    <row r="14" spans="1:33">
      <c r="A14">
        <v>12</v>
      </c>
      <c r="C14">
        <v>0</v>
      </c>
      <c r="D14">
        <v>0</v>
      </c>
      <c r="E14">
        <v>0</v>
      </c>
      <c r="F14">
        <v>8</v>
      </c>
      <c r="G14">
        <v>1</v>
      </c>
      <c r="H14">
        <f>None*CoreMHz</f>
        <v>0</v>
      </c>
      <c r="I14">
        <f>IF(AND(None&gt;0,H14&gt;0),None/H14,"")</f>
        <v>0</v>
      </c>
      <c r="J14">
        <f>IF(None&gt;0,None/(None/1E6),"")</f>
        <v>0</v>
      </c>
      <c r="K14">
        <f>IF(None&gt;0,None/H14/8,"")</f>
        <v>0</v>
      </c>
      <c r="L14">
        <f>IF(None&gt;0,None/H14/16,"")</f>
        <v>0</v>
      </c>
      <c r="M14">
        <f>IF(None&gt;0,None/H14/32,"")</f>
        <v>0</v>
      </c>
      <c r="N14">
        <f>IF(F14=8,8,IF(F14=16,4,IF(F14=32,2,"")))</f>
        <v>32</v>
      </c>
      <c r="O14" s="1">
        <f>IF(AND(None&gt;0,H14&gt;0,N14&lt;&gt;""),None/H14/N14,"")</f>
        <v>0</v>
      </c>
      <c r="X14">
        <f>0</f>
        <v>0</v>
      </c>
      <c r="Y14">
        <f>0</f>
        <v>0</v>
      </c>
      <c r="Z14">
        <f>0</f>
        <v>0</v>
      </c>
      <c r="AA14">
        <f>0</f>
        <v>0</v>
      </c>
      <c r="AG14">
        <f>IF(O14&lt;0.25,"Compute under-utilized",IF(AND(NOT(ISBLANK(AA14)),AA14&lt;0.5,NOT(ISBLANK(S14)),S14&lt;0.85),"Memory-bound",IF(OR(IFERROR(U14,0)&gt;0.20,IFERROR(T14,1)&lt;0.85),"Frontend stalls",IF(IFERROR(V14,0)&gt;0.25,"LSU stalls",IF(AND(IFERROR(AB14,"")="Elementwise",IFERROR(AC14,0)&gt;0.10),"Elementwise hotspot","")))))</f>
        <v>0</v>
      </c>
    </row>
    <row r="15" spans="1:33">
      <c r="A15">
        <v>13</v>
      </c>
      <c r="C15">
        <v>0</v>
      </c>
      <c r="D15">
        <v>0</v>
      </c>
      <c r="E15">
        <v>0</v>
      </c>
      <c r="F15">
        <v>8</v>
      </c>
      <c r="G15">
        <v>1</v>
      </c>
      <c r="H15">
        <f>None*CoreMHz</f>
        <v>0</v>
      </c>
      <c r="I15">
        <f>IF(AND(None&gt;0,H15&gt;0),None/H15,"")</f>
        <v>0</v>
      </c>
      <c r="J15">
        <f>IF(None&gt;0,None/(None/1E6),"")</f>
        <v>0</v>
      </c>
      <c r="K15">
        <f>IF(None&gt;0,None/H15/8,"")</f>
        <v>0</v>
      </c>
      <c r="L15">
        <f>IF(None&gt;0,None/H15/16,"")</f>
        <v>0</v>
      </c>
      <c r="M15">
        <f>IF(None&gt;0,None/H15/32,"")</f>
        <v>0</v>
      </c>
      <c r="N15">
        <f>IF(F15=8,8,IF(F15=16,4,IF(F15=32,2,"")))</f>
        <v>32</v>
      </c>
      <c r="O15" s="1">
        <f>IF(AND(None&gt;0,H15&gt;0,N15&lt;&gt;""),None/H15/N15,"")</f>
        <v>0</v>
      </c>
      <c r="X15">
        <f>0</f>
        <v>0</v>
      </c>
      <c r="Y15">
        <f>0</f>
        <v>0</v>
      </c>
      <c r="Z15">
        <f>0</f>
        <v>0</v>
      </c>
      <c r="AA15">
        <f>0</f>
        <v>0</v>
      </c>
      <c r="AG15">
        <f>IF(O15&lt;0.25,"Compute under-utilized",IF(AND(NOT(ISBLANK(AA15)),AA15&lt;0.5,NOT(ISBLANK(S15)),S15&lt;0.85),"Memory-bound",IF(OR(IFERROR(U15,0)&gt;0.20,IFERROR(T15,1)&lt;0.85),"Frontend stalls",IF(IFERROR(V15,0)&gt;0.25,"LSU stalls",IF(AND(IFERROR(AB15,"")="Elementwise",IFERROR(AC15,0)&gt;0.10),"Elementwise hotspot","")))))</f>
        <v>0</v>
      </c>
    </row>
    <row r="16" spans="1:33">
      <c r="A16">
        <v>14</v>
      </c>
      <c r="C16">
        <v>0</v>
      </c>
      <c r="D16">
        <v>0</v>
      </c>
      <c r="E16">
        <v>0</v>
      </c>
      <c r="F16">
        <v>8</v>
      </c>
      <c r="G16">
        <v>1</v>
      </c>
      <c r="H16">
        <f>None*CoreMHz</f>
        <v>0</v>
      </c>
      <c r="I16">
        <f>IF(AND(None&gt;0,H16&gt;0),None/H16,"")</f>
        <v>0</v>
      </c>
      <c r="J16">
        <f>IF(None&gt;0,None/(None/1E6),"")</f>
        <v>0</v>
      </c>
      <c r="K16">
        <f>IF(None&gt;0,None/H16/8,"")</f>
        <v>0</v>
      </c>
      <c r="L16">
        <f>IF(None&gt;0,None/H16/16,"")</f>
        <v>0</v>
      </c>
      <c r="M16">
        <f>IF(None&gt;0,None/H16/32,"")</f>
        <v>0</v>
      </c>
      <c r="N16">
        <f>IF(F16=8,8,IF(F16=16,4,IF(F16=32,2,"")))</f>
        <v>32</v>
      </c>
      <c r="O16" s="1">
        <f>IF(AND(None&gt;0,H16&gt;0,N16&lt;&gt;""),None/H16/N16,"")</f>
        <v>0</v>
      </c>
      <c r="X16">
        <f>0</f>
        <v>0</v>
      </c>
      <c r="Y16">
        <f>0</f>
        <v>0</v>
      </c>
      <c r="Z16">
        <f>0</f>
        <v>0</v>
      </c>
      <c r="AA16">
        <f>0</f>
        <v>0</v>
      </c>
      <c r="AG16">
        <f>IF(O16&lt;0.25,"Compute under-utilized",IF(AND(NOT(ISBLANK(AA16)),AA16&lt;0.5,NOT(ISBLANK(S16)),S16&lt;0.85),"Memory-bound",IF(OR(IFERROR(U16,0)&gt;0.20,IFERROR(T16,1)&lt;0.85),"Frontend stalls",IF(IFERROR(V16,0)&gt;0.25,"LSU stalls",IF(AND(IFERROR(AB16,"")="Elementwise",IFERROR(AC16,0)&gt;0.10),"Elementwise hotspot","")))))</f>
        <v>0</v>
      </c>
    </row>
    <row r="17" spans="1:33">
      <c r="A17">
        <v>15</v>
      </c>
      <c r="C17">
        <v>0</v>
      </c>
      <c r="D17">
        <v>0</v>
      </c>
      <c r="E17">
        <v>0</v>
      </c>
      <c r="F17">
        <v>8</v>
      </c>
      <c r="G17">
        <v>1</v>
      </c>
      <c r="H17">
        <f>None*CoreMHz</f>
        <v>0</v>
      </c>
      <c r="I17">
        <f>IF(AND(None&gt;0,H17&gt;0),None/H17,"")</f>
        <v>0</v>
      </c>
      <c r="J17">
        <f>IF(None&gt;0,None/(None/1E6),"")</f>
        <v>0</v>
      </c>
      <c r="K17">
        <f>IF(None&gt;0,None/H17/8,"")</f>
        <v>0</v>
      </c>
      <c r="L17">
        <f>IF(None&gt;0,None/H17/16,"")</f>
        <v>0</v>
      </c>
      <c r="M17">
        <f>IF(None&gt;0,None/H17/32,"")</f>
        <v>0</v>
      </c>
      <c r="N17">
        <f>IF(F17=8,8,IF(F17=16,4,IF(F17=32,2,"")))</f>
        <v>32</v>
      </c>
      <c r="O17" s="1">
        <f>IF(AND(None&gt;0,H17&gt;0,N17&lt;&gt;""),None/H17/N17,"")</f>
        <v>0</v>
      </c>
      <c r="X17">
        <f>0</f>
        <v>0</v>
      </c>
      <c r="Y17">
        <f>0</f>
        <v>0</v>
      </c>
      <c r="Z17">
        <f>0</f>
        <v>0</v>
      </c>
      <c r="AA17">
        <f>0</f>
        <v>0</v>
      </c>
      <c r="AG17">
        <f>IF(O17&lt;0.25,"Compute under-utilized",IF(AND(NOT(ISBLANK(AA17)),AA17&lt;0.5,NOT(ISBLANK(S17)),S17&lt;0.85),"Memory-bound",IF(OR(IFERROR(U17,0)&gt;0.20,IFERROR(T17,1)&lt;0.85),"Frontend stalls",IF(IFERROR(V17,0)&gt;0.25,"LSU stalls",IF(AND(IFERROR(AB17,"")="Elementwise",IFERROR(AC17,0)&gt;0.10),"Elementwise hotspot","")))))</f>
        <v>0</v>
      </c>
    </row>
    <row r="18" spans="1:33">
      <c r="A18">
        <v>16</v>
      </c>
      <c r="C18">
        <v>0</v>
      </c>
      <c r="D18">
        <v>0</v>
      </c>
      <c r="E18">
        <v>0</v>
      </c>
      <c r="F18">
        <v>8</v>
      </c>
      <c r="G18">
        <v>1</v>
      </c>
      <c r="H18">
        <f>None*CoreMHz</f>
        <v>0</v>
      </c>
      <c r="I18">
        <f>IF(AND(None&gt;0,H18&gt;0),None/H18,"")</f>
        <v>0</v>
      </c>
      <c r="J18">
        <f>IF(None&gt;0,None/(None/1E6),"")</f>
        <v>0</v>
      </c>
      <c r="K18">
        <f>IF(None&gt;0,None/H18/8,"")</f>
        <v>0</v>
      </c>
      <c r="L18">
        <f>IF(None&gt;0,None/H18/16,"")</f>
        <v>0</v>
      </c>
      <c r="M18">
        <f>IF(None&gt;0,None/H18/32,"")</f>
        <v>0</v>
      </c>
      <c r="N18">
        <f>IF(F18=8,8,IF(F18=16,4,IF(F18=32,2,"")))</f>
        <v>32</v>
      </c>
      <c r="O18" s="1">
        <f>IF(AND(None&gt;0,H18&gt;0,N18&lt;&gt;""),None/H18/N18,"")</f>
        <v>0</v>
      </c>
      <c r="X18">
        <f>0</f>
        <v>0</v>
      </c>
      <c r="Y18">
        <f>0</f>
        <v>0</v>
      </c>
      <c r="Z18">
        <f>0</f>
        <v>0</v>
      </c>
      <c r="AA18">
        <f>0</f>
        <v>0</v>
      </c>
      <c r="AG18">
        <f>IF(O18&lt;0.25,"Compute under-utilized",IF(AND(NOT(ISBLANK(AA18)),AA18&lt;0.5,NOT(ISBLANK(S18)),S18&lt;0.85),"Memory-bound",IF(OR(IFERROR(U18,0)&gt;0.20,IFERROR(T18,1)&lt;0.85),"Frontend stalls",IF(IFERROR(V18,0)&gt;0.25,"LSU stalls",IF(AND(IFERROR(AB18,"")="Elementwise",IFERROR(AC18,0)&gt;0.10),"Elementwise hotspot","")))))</f>
        <v>0</v>
      </c>
    </row>
    <row r="19" spans="1:33">
      <c r="A19">
        <v>17</v>
      </c>
      <c r="C19">
        <v>0</v>
      </c>
      <c r="D19">
        <v>0</v>
      </c>
      <c r="E19">
        <v>0</v>
      </c>
      <c r="F19">
        <v>8</v>
      </c>
      <c r="G19">
        <v>1</v>
      </c>
      <c r="H19">
        <f>None*CoreMHz</f>
        <v>0</v>
      </c>
      <c r="I19">
        <f>IF(AND(None&gt;0,H19&gt;0),None/H19,"")</f>
        <v>0</v>
      </c>
      <c r="J19">
        <f>IF(None&gt;0,None/(None/1E6),"")</f>
        <v>0</v>
      </c>
      <c r="K19">
        <f>IF(None&gt;0,None/H19/8,"")</f>
        <v>0</v>
      </c>
      <c r="L19">
        <f>IF(None&gt;0,None/H19/16,"")</f>
        <v>0</v>
      </c>
      <c r="M19">
        <f>IF(None&gt;0,None/H19/32,"")</f>
        <v>0</v>
      </c>
      <c r="N19">
        <f>IF(F19=8,8,IF(F19=16,4,IF(F19=32,2,"")))</f>
        <v>32</v>
      </c>
      <c r="O19" s="1">
        <f>IF(AND(None&gt;0,H19&gt;0,N19&lt;&gt;""),None/H19/N19,"")</f>
        <v>0</v>
      </c>
      <c r="X19">
        <f>0</f>
        <v>0</v>
      </c>
      <c r="Y19">
        <f>0</f>
        <v>0</v>
      </c>
      <c r="Z19">
        <f>0</f>
        <v>0</v>
      </c>
      <c r="AA19">
        <f>0</f>
        <v>0</v>
      </c>
      <c r="AG19">
        <f>IF(O19&lt;0.25,"Compute under-utilized",IF(AND(NOT(ISBLANK(AA19)),AA19&lt;0.5,NOT(ISBLANK(S19)),S19&lt;0.85),"Memory-bound",IF(OR(IFERROR(U19,0)&gt;0.20,IFERROR(T19,1)&lt;0.85),"Frontend stalls",IF(IFERROR(V19,0)&gt;0.25,"LSU stalls",IF(AND(IFERROR(AB19,"")="Elementwise",IFERROR(AC19,0)&gt;0.10),"Elementwise hotspot","")))))</f>
        <v>0</v>
      </c>
    </row>
    <row r="20" spans="1:33">
      <c r="A20">
        <v>18</v>
      </c>
      <c r="C20">
        <v>0</v>
      </c>
      <c r="D20">
        <v>0</v>
      </c>
      <c r="E20">
        <v>0</v>
      </c>
      <c r="F20">
        <v>8</v>
      </c>
      <c r="G20">
        <v>1</v>
      </c>
      <c r="H20">
        <f>None*CoreMHz</f>
        <v>0</v>
      </c>
      <c r="I20">
        <f>IF(AND(None&gt;0,H20&gt;0),None/H20,"")</f>
        <v>0</v>
      </c>
      <c r="J20">
        <f>IF(None&gt;0,None/(None/1E6),"")</f>
        <v>0</v>
      </c>
      <c r="K20">
        <f>IF(None&gt;0,None/H20/8,"")</f>
        <v>0</v>
      </c>
      <c r="L20">
        <f>IF(None&gt;0,None/H20/16,"")</f>
        <v>0</v>
      </c>
      <c r="M20">
        <f>IF(None&gt;0,None/H20/32,"")</f>
        <v>0</v>
      </c>
      <c r="N20">
        <f>IF(F20=8,8,IF(F20=16,4,IF(F20=32,2,"")))</f>
        <v>32</v>
      </c>
      <c r="O20" s="1">
        <f>IF(AND(None&gt;0,H20&gt;0,N20&lt;&gt;""),None/H20/N20,"")</f>
        <v>0</v>
      </c>
      <c r="X20">
        <f>0</f>
        <v>0</v>
      </c>
      <c r="Y20">
        <f>0</f>
        <v>0</v>
      </c>
      <c r="Z20">
        <f>0</f>
        <v>0</v>
      </c>
      <c r="AA20">
        <f>0</f>
        <v>0</v>
      </c>
      <c r="AG20">
        <f>IF(O20&lt;0.25,"Compute under-utilized",IF(AND(NOT(ISBLANK(AA20)),AA20&lt;0.5,NOT(ISBLANK(S20)),S20&lt;0.85),"Memory-bound",IF(OR(IFERROR(U20,0)&gt;0.20,IFERROR(T20,1)&lt;0.85),"Frontend stalls",IF(IFERROR(V20,0)&gt;0.25,"LSU stalls",IF(AND(IFERROR(AB20,"")="Elementwise",IFERROR(AC20,0)&gt;0.10),"Elementwise hotspot","")))))</f>
        <v>0</v>
      </c>
    </row>
    <row r="21" spans="1:33">
      <c r="A21">
        <v>19</v>
      </c>
      <c r="C21">
        <v>0</v>
      </c>
      <c r="D21">
        <v>0</v>
      </c>
      <c r="E21">
        <v>0</v>
      </c>
      <c r="F21">
        <v>8</v>
      </c>
      <c r="G21">
        <v>1</v>
      </c>
      <c r="H21">
        <f>None*CoreMHz</f>
        <v>0</v>
      </c>
      <c r="I21">
        <f>IF(AND(None&gt;0,H21&gt;0),None/H21,"")</f>
        <v>0</v>
      </c>
      <c r="J21">
        <f>IF(None&gt;0,None/(None/1E6),"")</f>
        <v>0</v>
      </c>
      <c r="K21">
        <f>IF(None&gt;0,None/H21/8,"")</f>
        <v>0</v>
      </c>
      <c r="L21">
        <f>IF(None&gt;0,None/H21/16,"")</f>
        <v>0</v>
      </c>
      <c r="M21">
        <f>IF(None&gt;0,None/H21/32,"")</f>
        <v>0</v>
      </c>
      <c r="N21">
        <f>IF(F21=8,8,IF(F21=16,4,IF(F21=32,2,"")))</f>
        <v>32</v>
      </c>
      <c r="O21" s="1">
        <f>IF(AND(None&gt;0,H21&gt;0,N21&lt;&gt;""),None/H21/N21,"")</f>
        <v>0</v>
      </c>
      <c r="X21">
        <f>0</f>
        <v>0</v>
      </c>
      <c r="Y21">
        <f>0</f>
        <v>0</v>
      </c>
      <c r="Z21">
        <f>0</f>
        <v>0</v>
      </c>
      <c r="AA21">
        <f>0</f>
        <v>0</v>
      </c>
      <c r="AG21">
        <f>IF(O21&lt;0.25,"Compute under-utilized",IF(AND(NOT(ISBLANK(AA21)),AA21&lt;0.5,NOT(ISBLANK(S21)),S21&lt;0.85),"Memory-bound",IF(OR(IFERROR(U21,0)&gt;0.20,IFERROR(T21,1)&lt;0.85),"Frontend stalls",IF(IFERROR(V21,0)&gt;0.25,"LSU stalls",IF(AND(IFERROR(AB21,"")="Elementwise",IFERROR(AC21,0)&gt;0.10),"Elementwise hotspot","")))))</f>
        <v>0</v>
      </c>
    </row>
    <row r="22" spans="1:33">
      <c r="A22">
        <v>20</v>
      </c>
      <c r="C22">
        <v>0</v>
      </c>
      <c r="D22">
        <v>0</v>
      </c>
      <c r="E22">
        <v>0</v>
      </c>
      <c r="F22">
        <v>8</v>
      </c>
      <c r="G22">
        <v>1</v>
      </c>
      <c r="H22">
        <f>None*CoreMHz</f>
        <v>0</v>
      </c>
      <c r="I22">
        <f>IF(AND(None&gt;0,H22&gt;0),None/H22,"")</f>
        <v>0</v>
      </c>
      <c r="J22">
        <f>IF(None&gt;0,None/(None/1E6),"")</f>
        <v>0</v>
      </c>
      <c r="K22">
        <f>IF(None&gt;0,None/H22/8,"")</f>
        <v>0</v>
      </c>
      <c r="L22">
        <f>IF(None&gt;0,None/H22/16,"")</f>
        <v>0</v>
      </c>
      <c r="M22">
        <f>IF(None&gt;0,None/H22/32,"")</f>
        <v>0</v>
      </c>
      <c r="N22">
        <f>IF(F22=8,8,IF(F22=16,4,IF(F22=32,2,"")))</f>
        <v>32</v>
      </c>
      <c r="O22" s="1">
        <f>IF(AND(None&gt;0,H22&gt;0,N22&lt;&gt;""),None/H22/N22,"")</f>
        <v>0</v>
      </c>
      <c r="X22">
        <f>0</f>
        <v>0</v>
      </c>
      <c r="Y22">
        <f>0</f>
        <v>0</v>
      </c>
      <c r="Z22">
        <f>0</f>
        <v>0</v>
      </c>
      <c r="AA22">
        <f>0</f>
        <v>0</v>
      </c>
      <c r="AG22">
        <f>IF(O22&lt;0.25,"Compute under-utilized",IF(AND(NOT(ISBLANK(AA22)),AA22&lt;0.5,NOT(ISBLANK(S22)),S22&lt;0.85),"Memory-bound",IF(OR(IFERROR(U22,0)&gt;0.20,IFERROR(T22,1)&lt;0.85),"Frontend stalls",IF(IFERROR(V22,0)&gt;0.25,"LSU stalls",IF(AND(IFERROR(AB22,"")="Elementwise",IFERROR(AC22,0)&gt;0.10),"Elementwise hotspot","")))))</f>
        <v>0</v>
      </c>
    </row>
    <row r="23" spans="1:33">
      <c r="A23">
        <v>21</v>
      </c>
      <c r="C23">
        <v>0</v>
      </c>
      <c r="D23">
        <v>0</v>
      </c>
      <c r="E23">
        <v>0</v>
      </c>
      <c r="F23">
        <v>8</v>
      </c>
      <c r="G23">
        <v>1</v>
      </c>
      <c r="H23">
        <f>None*CoreMHz</f>
        <v>0</v>
      </c>
      <c r="I23">
        <f>IF(AND(None&gt;0,H23&gt;0),None/H23,"")</f>
        <v>0</v>
      </c>
      <c r="J23">
        <f>IF(None&gt;0,None/(None/1E6),"")</f>
        <v>0</v>
      </c>
      <c r="K23">
        <f>IF(None&gt;0,None/H23/8,"")</f>
        <v>0</v>
      </c>
      <c r="L23">
        <f>IF(None&gt;0,None/H23/16,"")</f>
        <v>0</v>
      </c>
      <c r="M23">
        <f>IF(None&gt;0,None/H23/32,"")</f>
        <v>0</v>
      </c>
      <c r="N23">
        <f>IF(F23=8,8,IF(F23=16,4,IF(F23=32,2,"")))</f>
        <v>32</v>
      </c>
      <c r="O23" s="1">
        <f>IF(AND(None&gt;0,H23&gt;0,N23&lt;&gt;""),None/H23/N23,"")</f>
        <v>0</v>
      </c>
      <c r="X23">
        <f>0</f>
        <v>0</v>
      </c>
      <c r="Y23">
        <f>0</f>
        <v>0</v>
      </c>
      <c r="Z23">
        <f>0</f>
        <v>0</v>
      </c>
      <c r="AA23">
        <f>0</f>
        <v>0</v>
      </c>
      <c r="AG23">
        <f>IF(O23&lt;0.25,"Compute under-utilized",IF(AND(NOT(ISBLANK(AA23)),AA23&lt;0.5,NOT(ISBLANK(S23)),S23&lt;0.85),"Memory-bound",IF(OR(IFERROR(U23,0)&gt;0.20,IFERROR(T23,1)&lt;0.85),"Frontend stalls",IF(IFERROR(V23,0)&gt;0.25,"LSU stalls",IF(AND(IFERROR(AB23,"")="Elementwise",IFERROR(AC23,0)&gt;0.10),"Elementwise hotspot","")))))</f>
        <v>0</v>
      </c>
    </row>
    <row r="24" spans="1:33">
      <c r="A24">
        <v>22</v>
      </c>
      <c r="C24">
        <v>0</v>
      </c>
      <c r="D24">
        <v>0</v>
      </c>
      <c r="E24">
        <v>0</v>
      </c>
      <c r="F24">
        <v>8</v>
      </c>
      <c r="G24">
        <v>1</v>
      </c>
      <c r="H24">
        <f>None*CoreMHz</f>
        <v>0</v>
      </c>
      <c r="I24">
        <f>IF(AND(None&gt;0,H24&gt;0),None/H24,"")</f>
        <v>0</v>
      </c>
      <c r="J24">
        <f>IF(None&gt;0,None/(None/1E6),"")</f>
        <v>0</v>
      </c>
      <c r="K24">
        <f>IF(None&gt;0,None/H24/8,"")</f>
        <v>0</v>
      </c>
      <c r="L24">
        <f>IF(None&gt;0,None/H24/16,"")</f>
        <v>0</v>
      </c>
      <c r="M24">
        <f>IF(None&gt;0,None/H24/32,"")</f>
        <v>0</v>
      </c>
      <c r="N24">
        <f>IF(F24=8,8,IF(F24=16,4,IF(F24=32,2,"")))</f>
        <v>32</v>
      </c>
      <c r="O24" s="1">
        <f>IF(AND(None&gt;0,H24&gt;0,N24&lt;&gt;""),None/H24/N24,"")</f>
        <v>0</v>
      </c>
      <c r="X24">
        <f>0</f>
        <v>0</v>
      </c>
      <c r="Y24">
        <f>0</f>
        <v>0</v>
      </c>
      <c r="Z24">
        <f>0</f>
        <v>0</v>
      </c>
      <c r="AA24">
        <f>0</f>
        <v>0</v>
      </c>
      <c r="AG24">
        <f>IF(O24&lt;0.25,"Compute under-utilized",IF(AND(NOT(ISBLANK(AA24)),AA24&lt;0.5,NOT(ISBLANK(S24)),S24&lt;0.85),"Memory-bound",IF(OR(IFERROR(U24,0)&gt;0.20,IFERROR(T24,1)&lt;0.85),"Frontend stalls",IF(IFERROR(V24,0)&gt;0.25,"LSU stalls",IF(AND(IFERROR(AB24,"")="Elementwise",IFERROR(AC24,0)&gt;0.10),"Elementwise hotspot","")))))</f>
        <v>0</v>
      </c>
    </row>
    <row r="25" spans="1:33">
      <c r="A25">
        <v>23</v>
      </c>
      <c r="C25">
        <v>0</v>
      </c>
      <c r="D25">
        <v>0</v>
      </c>
      <c r="E25">
        <v>0</v>
      </c>
      <c r="F25">
        <v>8</v>
      </c>
      <c r="G25">
        <v>1</v>
      </c>
      <c r="H25">
        <f>None*CoreMHz</f>
        <v>0</v>
      </c>
      <c r="I25">
        <f>IF(AND(None&gt;0,H25&gt;0),None/H25,"")</f>
        <v>0</v>
      </c>
      <c r="J25">
        <f>IF(None&gt;0,None/(None/1E6),"")</f>
        <v>0</v>
      </c>
      <c r="K25">
        <f>IF(None&gt;0,None/H25/8,"")</f>
        <v>0</v>
      </c>
      <c r="L25">
        <f>IF(None&gt;0,None/H25/16,"")</f>
        <v>0</v>
      </c>
      <c r="M25">
        <f>IF(None&gt;0,None/H25/32,"")</f>
        <v>0</v>
      </c>
      <c r="N25">
        <f>IF(F25=8,8,IF(F25=16,4,IF(F25=32,2,"")))</f>
        <v>32</v>
      </c>
      <c r="O25" s="1">
        <f>IF(AND(None&gt;0,H25&gt;0,N25&lt;&gt;""),None/H25/N25,"")</f>
        <v>0</v>
      </c>
      <c r="X25">
        <f>0</f>
        <v>0</v>
      </c>
      <c r="Y25">
        <f>0</f>
        <v>0</v>
      </c>
      <c r="Z25">
        <f>0</f>
        <v>0</v>
      </c>
      <c r="AA25">
        <f>0</f>
        <v>0</v>
      </c>
      <c r="AG25">
        <f>IF(O25&lt;0.25,"Compute under-utilized",IF(AND(NOT(ISBLANK(AA25)),AA25&lt;0.5,NOT(ISBLANK(S25)),S25&lt;0.85),"Memory-bound",IF(OR(IFERROR(U25,0)&gt;0.20,IFERROR(T25,1)&lt;0.85),"Frontend stalls",IF(IFERROR(V25,0)&gt;0.25,"LSU stalls",IF(AND(IFERROR(AB25,"")="Elementwise",IFERROR(AC25,0)&gt;0.10),"Elementwise hotspot","")))))</f>
        <v>0</v>
      </c>
    </row>
    <row r="26" spans="1:33">
      <c r="A26">
        <v>24</v>
      </c>
      <c r="C26">
        <v>0</v>
      </c>
      <c r="D26">
        <v>0</v>
      </c>
      <c r="E26">
        <v>0</v>
      </c>
      <c r="F26">
        <v>8</v>
      </c>
      <c r="G26">
        <v>1</v>
      </c>
      <c r="H26">
        <f>None*CoreMHz</f>
        <v>0</v>
      </c>
      <c r="I26">
        <f>IF(AND(None&gt;0,H26&gt;0),None/H26,"")</f>
        <v>0</v>
      </c>
      <c r="J26">
        <f>IF(None&gt;0,None/(None/1E6),"")</f>
        <v>0</v>
      </c>
      <c r="K26">
        <f>IF(None&gt;0,None/H26/8,"")</f>
        <v>0</v>
      </c>
      <c r="L26">
        <f>IF(None&gt;0,None/H26/16,"")</f>
        <v>0</v>
      </c>
      <c r="M26">
        <f>IF(None&gt;0,None/H26/32,"")</f>
        <v>0</v>
      </c>
      <c r="N26">
        <f>IF(F26=8,8,IF(F26=16,4,IF(F26=32,2,"")))</f>
        <v>32</v>
      </c>
      <c r="O26" s="1">
        <f>IF(AND(None&gt;0,H26&gt;0,N26&lt;&gt;""),None/H26/N26,"")</f>
        <v>0</v>
      </c>
      <c r="X26">
        <f>0</f>
        <v>0</v>
      </c>
      <c r="Y26">
        <f>0</f>
        <v>0</v>
      </c>
      <c r="Z26">
        <f>0</f>
        <v>0</v>
      </c>
      <c r="AA26">
        <f>0</f>
        <v>0</v>
      </c>
      <c r="AG26">
        <f>IF(O26&lt;0.25,"Compute under-utilized",IF(AND(NOT(ISBLANK(AA26)),AA26&lt;0.5,NOT(ISBLANK(S26)),S26&lt;0.85),"Memory-bound",IF(OR(IFERROR(U26,0)&gt;0.20,IFERROR(T26,1)&lt;0.85),"Frontend stalls",IF(IFERROR(V26,0)&gt;0.25,"LSU stalls",IF(AND(IFERROR(AB26,"")="Elementwise",IFERROR(AC26,0)&gt;0.10),"Elementwise hotspot","")))))</f>
        <v>0</v>
      </c>
    </row>
    <row r="27" spans="1:33">
      <c r="A27">
        <v>25</v>
      </c>
      <c r="C27">
        <v>0</v>
      </c>
      <c r="D27">
        <v>0</v>
      </c>
      <c r="E27">
        <v>0</v>
      </c>
      <c r="F27">
        <v>8</v>
      </c>
      <c r="G27">
        <v>1</v>
      </c>
      <c r="H27">
        <f>None*CoreMHz</f>
        <v>0</v>
      </c>
      <c r="I27">
        <f>IF(AND(None&gt;0,H27&gt;0),None/H27,"")</f>
        <v>0</v>
      </c>
      <c r="J27">
        <f>IF(None&gt;0,None/(None/1E6),"")</f>
        <v>0</v>
      </c>
      <c r="K27">
        <f>IF(None&gt;0,None/H27/8,"")</f>
        <v>0</v>
      </c>
      <c r="L27">
        <f>IF(None&gt;0,None/H27/16,"")</f>
        <v>0</v>
      </c>
      <c r="M27">
        <f>IF(None&gt;0,None/H27/32,"")</f>
        <v>0</v>
      </c>
      <c r="N27">
        <f>IF(F27=8,8,IF(F27=16,4,IF(F27=32,2,"")))</f>
        <v>32</v>
      </c>
      <c r="O27" s="1">
        <f>IF(AND(None&gt;0,H27&gt;0,N27&lt;&gt;""),None/H27/N27,"")</f>
        <v>0</v>
      </c>
      <c r="X27">
        <f>0</f>
        <v>0</v>
      </c>
      <c r="Y27">
        <f>0</f>
        <v>0</v>
      </c>
      <c r="Z27">
        <f>0</f>
        <v>0</v>
      </c>
      <c r="AA27">
        <f>0</f>
        <v>0</v>
      </c>
      <c r="AG27">
        <f>IF(O27&lt;0.25,"Compute under-utilized",IF(AND(NOT(ISBLANK(AA27)),AA27&lt;0.5,NOT(ISBLANK(S27)),S27&lt;0.85),"Memory-bound",IF(OR(IFERROR(U27,0)&gt;0.20,IFERROR(T27,1)&lt;0.85),"Frontend stalls",IF(IFERROR(V27,0)&gt;0.25,"LSU stalls",IF(AND(IFERROR(AB27,"")="Elementwise",IFERROR(AC27,0)&gt;0.10),"Elementwise hotspot","")))))</f>
        <v>0</v>
      </c>
    </row>
    <row r="28" spans="1:33">
      <c r="A28">
        <v>26</v>
      </c>
      <c r="C28">
        <v>0</v>
      </c>
      <c r="D28">
        <v>0</v>
      </c>
      <c r="E28">
        <v>0</v>
      </c>
      <c r="F28">
        <v>8</v>
      </c>
      <c r="G28">
        <v>1</v>
      </c>
      <c r="H28">
        <f>None*CoreMHz</f>
        <v>0</v>
      </c>
      <c r="I28">
        <f>IF(AND(None&gt;0,H28&gt;0),None/H28,"")</f>
        <v>0</v>
      </c>
      <c r="J28">
        <f>IF(None&gt;0,None/(None/1E6),"")</f>
        <v>0</v>
      </c>
      <c r="K28">
        <f>IF(None&gt;0,None/H28/8,"")</f>
        <v>0</v>
      </c>
      <c r="L28">
        <f>IF(None&gt;0,None/H28/16,"")</f>
        <v>0</v>
      </c>
      <c r="M28">
        <f>IF(None&gt;0,None/H28/32,"")</f>
        <v>0</v>
      </c>
      <c r="N28">
        <f>IF(F28=8,8,IF(F28=16,4,IF(F28=32,2,"")))</f>
        <v>32</v>
      </c>
      <c r="O28" s="1">
        <f>IF(AND(None&gt;0,H28&gt;0,N28&lt;&gt;""),None/H28/N28,"")</f>
        <v>0</v>
      </c>
      <c r="X28">
        <f>0</f>
        <v>0</v>
      </c>
      <c r="Y28">
        <f>0</f>
        <v>0</v>
      </c>
      <c r="Z28">
        <f>0</f>
        <v>0</v>
      </c>
      <c r="AA28">
        <f>0</f>
        <v>0</v>
      </c>
      <c r="AG28">
        <f>IF(O28&lt;0.25,"Compute under-utilized",IF(AND(NOT(ISBLANK(AA28)),AA28&lt;0.5,NOT(ISBLANK(S28)),S28&lt;0.85),"Memory-bound",IF(OR(IFERROR(U28,0)&gt;0.20,IFERROR(T28,1)&lt;0.85),"Frontend stalls",IF(IFERROR(V28,0)&gt;0.25,"LSU stalls",IF(AND(IFERROR(AB28,"")="Elementwise",IFERROR(AC28,0)&gt;0.10),"Elementwise hotspot","")))))</f>
        <v>0</v>
      </c>
    </row>
    <row r="29" spans="1:33">
      <c r="A29">
        <v>27</v>
      </c>
      <c r="C29">
        <v>0</v>
      </c>
      <c r="D29">
        <v>0</v>
      </c>
      <c r="E29">
        <v>0</v>
      </c>
      <c r="F29">
        <v>8</v>
      </c>
      <c r="G29">
        <v>1</v>
      </c>
      <c r="H29">
        <f>None*CoreMHz</f>
        <v>0</v>
      </c>
      <c r="I29">
        <f>IF(AND(None&gt;0,H29&gt;0),None/H29,"")</f>
        <v>0</v>
      </c>
      <c r="J29">
        <f>IF(None&gt;0,None/(None/1E6),"")</f>
        <v>0</v>
      </c>
      <c r="K29">
        <f>IF(None&gt;0,None/H29/8,"")</f>
        <v>0</v>
      </c>
      <c r="L29">
        <f>IF(None&gt;0,None/H29/16,"")</f>
        <v>0</v>
      </c>
      <c r="M29">
        <f>IF(None&gt;0,None/H29/32,"")</f>
        <v>0</v>
      </c>
      <c r="N29">
        <f>IF(F29=8,8,IF(F29=16,4,IF(F29=32,2,"")))</f>
        <v>32</v>
      </c>
      <c r="O29" s="1">
        <f>IF(AND(None&gt;0,H29&gt;0,N29&lt;&gt;""),None/H29/N29,"")</f>
        <v>0</v>
      </c>
      <c r="X29">
        <f>0</f>
        <v>0</v>
      </c>
      <c r="Y29">
        <f>0</f>
        <v>0</v>
      </c>
      <c r="Z29">
        <f>0</f>
        <v>0</v>
      </c>
      <c r="AA29">
        <f>0</f>
        <v>0</v>
      </c>
      <c r="AG29">
        <f>IF(O29&lt;0.25,"Compute under-utilized",IF(AND(NOT(ISBLANK(AA29)),AA29&lt;0.5,NOT(ISBLANK(S29)),S29&lt;0.85),"Memory-bound",IF(OR(IFERROR(U29,0)&gt;0.20,IFERROR(T29,1)&lt;0.85),"Frontend stalls",IF(IFERROR(V29,0)&gt;0.25,"LSU stalls",IF(AND(IFERROR(AB29,"")="Elementwise",IFERROR(AC29,0)&gt;0.10),"Elementwise hotspot","")))))</f>
        <v>0</v>
      </c>
    </row>
    <row r="30" spans="1:33">
      <c r="A30">
        <v>28</v>
      </c>
      <c r="C30">
        <v>0</v>
      </c>
      <c r="D30">
        <v>0</v>
      </c>
      <c r="E30">
        <v>0</v>
      </c>
      <c r="F30">
        <v>8</v>
      </c>
      <c r="G30">
        <v>1</v>
      </c>
      <c r="H30">
        <f>None*CoreMHz</f>
        <v>0</v>
      </c>
      <c r="I30">
        <f>IF(AND(None&gt;0,H30&gt;0),None/H30,"")</f>
        <v>0</v>
      </c>
      <c r="J30">
        <f>IF(None&gt;0,None/(None/1E6),"")</f>
        <v>0</v>
      </c>
      <c r="K30">
        <f>IF(None&gt;0,None/H30/8,"")</f>
        <v>0</v>
      </c>
      <c r="L30">
        <f>IF(None&gt;0,None/H30/16,"")</f>
        <v>0</v>
      </c>
      <c r="M30">
        <f>IF(None&gt;0,None/H30/32,"")</f>
        <v>0</v>
      </c>
      <c r="N30">
        <f>IF(F30=8,8,IF(F30=16,4,IF(F30=32,2,"")))</f>
        <v>32</v>
      </c>
      <c r="O30" s="1">
        <f>IF(AND(None&gt;0,H30&gt;0,N30&lt;&gt;""),None/H30/N30,"")</f>
        <v>0</v>
      </c>
      <c r="X30">
        <f>0</f>
        <v>0</v>
      </c>
      <c r="Y30">
        <f>0</f>
        <v>0</v>
      </c>
      <c r="Z30">
        <f>0</f>
        <v>0</v>
      </c>
      <c r="AA30">
        <f>0</f>
        <v>0</v>
      </c>
      <c r="AG30">
        <f>IF(O30&lt;0.25,"Compute under-utilized",IF(AND(NOT(ISBLANK(AA30)),AA30&lt;0.5,NOT(ISBLANK(S30)),S30&lt;0.85),"Memory-bound",IF(OR(IFERROR(U30,0)&gt;0.20,IFERROR(T30,1)&lt;0.85),"Frontend stalls",IF(IFERROR(V30,0)&gt;0.25,"LSU stalls",IF(AND(IFERROR(AB30,"")="Elementwise",IFERROR(AC30,0)&gt;0.10),"Elementwise hotspot","")))))</f>
        <v>0</v>
      </c>
    </row>
    <row r="31" spans="1:33">
      <c r="A31">
        <v>29</v>
      </c>
      <c r="C31">
        <v>0</v>
      </c>
      <c r="D31">
        <v>0</v>
      </c>
      <c r="E31">
        <v>0</v>
      </c>
      <c r="F31">
        <v>8</v>
      </c>
      <c r="G31">
        <v>1</v>
      </c>
      <c r="H31">
        <f>None*CoreMHz</f>
        <v>0</v>
      </c>
      <c r="I31">
        <f>IF(AND(None&gt;0,H31&gt;0),None/H31,"")</f>
        <v>0</v>
      </c>
      <c r="J31">
        <f>IF(None&gt;0,None/(None/1E6),"")</f>
        <v>0</v>
      </c>
      <c r="K31">
        <f>IF(None&gt;0,None/H31/8,"")</f>
        <v>0</v>
      </c>
      <c r="L31">
        <f>IF(None&gt;0,None/H31/16,"")</f>
        <v>0</v>
      </c>
      <c r="M31">
        <f>IF(None&gt;0,None/H31/32,"")</f>
        <v>0</v>
      </c>
      <c r="N31">
        <f>IF(F31=8,8,IF(F31=16,4,IF(F31=32,2,"")))</f>
        <v>32</v>
      </c>
      <c r="O31" s="1">
        <f>IF(AND(None&gt;0,H31&gt;0,N31&lt;&gt;""),None/H31/N31,"")</f>
        <v>0</v>
      </c>
      <c r="X31">
        <f>0</f>
        <v>0</v>
      </c>
      <c r="Y31">
        <f>0</f>
        <v>0</v>
      </c>
      <c r="Z31">
        <f>0</f>
        <v>0</v>
      </c>
      <c r="AA31">
        <f>0</f>
        <v>0</v>
      </c>
      <c r="AG31">
        <f>IF(O31&lt;0.25,"Compute under-utilized",IF(AND(NOT(ISBLANK(AA31)),AA31&lt;0.5,NOT(ISBLANK(S31)),S31&lt;0.85),"Memory-bound",IF(OR(IFERROR(U31,0)&gt;0.20,IFERROR(T31,1)&lt;0.85),"Frontend stalls",IF(IFERROR(V31,0)&gt;0.25,"LSU stalls",IF(AND(IFERROR(AB31,"")="Elementwise",IFERROR(AC31,0)&gt;0.10),"Elementwise hotspot","")))))</f>
        <v>0</v>
      </c>
    </row>
    <row r="32" spans="1:33">
      <c r="A32">
        <v>30</v>
      </c>
      <c r="C32">
        <v>0</v>
      </c>
      <c r="D32">
        <v>0</v>
      </c>
      <c r="E32">
        <v>0</v>
      </c>
      <c r="F32">
        <v>8</v>
      </c>
      <c r="G32">
        <v>1</v>
      </c>
      <c r="H32">
        <f>None*CoreMHz</f>
        <v>0</v>
      </c>
      <c r="I32">
        <f>IF(AND(None&gt;0,H32&gt;0),None/H32,"")</f>
        <v>0</v>
      </c>
      <c r="J32">
        <f>IF(None&gt;0,None/(None/1E6),"")</f>
        <v>0</v>
      </c>
      <c r="K32">
        <f>IF(None&gt;0,None/H32/8,"")</f>
        <v>0</v>
      </c>
      <c r="L32">
        <f>IF(None&gt;0,None/H32/16,"")</f>
        <v>0</v>
      </c>
      <c r="M32">
        <f>IF(None&gt;0,None/H32/32,"")</f>
        <v>0</v>
      </c>
      <c r="N32">
        <f>IF(F32=8,8,IF(F32=16,4,IF(F32=32,2,"")))</f>
        <v>32</v>
      </c>
      <c r="O32" s="1">
        <f>IF(AND(None&gt;0,H32&gt;0,N32&lt;&gt;""),None/H32/N32,"")</f>
        <v>0</v>
      </c>
      <c r="X32">
        <f>0</f>
        <v>0</v>
      </c>
      <c r="Y32">
        <f>0</f>
        <v>0</v>
      </c>
      <c r="Z32">
        <f>0</f>
        <v>0</v>
      </c>
      <c r="AA32">
        <f>0</f>
        <v>0</v>
      </c>
      <c r="AG32">
        <f>IF(O32&lt;0.25,"Compute under-utilized",IF(AND(NOT(ISBLANK(AA32)),AA32&lt;0.5,NOT(ISBLANK(S32)),S32&lt;0.85),"Memory-bound",IF(OR(IFERROR(U32,0)&gt;0.20,IFERROR(T32,1)&lt;0.85),"Frontend stalls",IF(IFERROR(V32,0)&gt;0.25,"LSU stalls",IF(AND(IFERROR(AB32,"")="Elementwise",IFERROR(AC32,0)&gt;0.10),"Elementwise hotspot","")))))</f>
        <v>0</v>
      </c>
    </row>
  </sheetData>
  <conditionalFormatting sqref="AC2:AC32">
    <cfRule type="dataBar" priority="1">
      <dataBar>
        <cfvo type="min" val="0"/>
        <cfvo type="max" val="0"/>
        <color rgb="FF638EC6"/>
      </dataBar>
    </cfRule>
  </conditionalFormatting>
  <conditionalFormatting sqref="AD2:AD3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E2:AE32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F2:AF32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32">
    <cfRule type="dataBar" priority="3">
      <dataBar>
        <cfvo type="min" val="0"/>
        <cfvo type="max" val="0"/>
        <color rgb="FF638EC6"/>
      </dataBar>
    </cfRule>
  </conditionalFormatting>
  <conditionalFormatting sqref="I2:I32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32">
    <cfRule type="dataBar" priority="2">
      <dataBar>
        <cfvo type="min" val="0"/>
        <cfvo type="max" val="0"/>
        <color rgb="FF638EC6"/>
      </dataBar>
    </cfRule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2:O3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P2:P32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2:Q32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2:R32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S2:S3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T2:T32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U2:U32">
    <cfRule type="colorScale" priority="1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V2:V32">
    <cfRule type="colorScale" priority="1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W2:W32">
    <cfRule type="colorScale" priority="1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cols>
    <col min="2" max="5" width="9.140625" style="1"/>
    <col min="9" max="12" width="9.140625" style="1"/>
  </cols>
  <sheetData>
    <row r="1" spans="1:12">
      <c r="A1" t="s">
        <v>58</v>
      </c>
    </row>
    <row r="3" spans="1:12">
      <c r="A3" t="s">
        <v>52</v>
      </c>
      <c r="B3" s="1" t="s">
        <v>59</v>
      </c>
      <c r="C3" s="1" t="s">
        <v>60</v>
      </c>
      <c r="H3" t="s">
        <v>26</v>
      </c>
      <c r="I3" s="1" t="s">
        <v>59</v>
      </c>
      <c r="J3" s="1" t="s">
        <v>60</v>
      </c>
    </row>
    <row r="5" spans="1:12">
      <c r="A5" t="s">
        <v>61</v>
      </c>
    </row>
    <row r="6" spans="1:12">
      <c r="A6" t="s">
        <v>26</v>
      </c>
      <c r="B6" s="1" t="s">
        <v>62</v>
      </c>
      <c r="C6" s="1" t="s">
        <v>63</v>
      </c>
      <c r="D6" s="1" t="s">
        <v>64</v>
      </c>
      <c r="E6" s="1" t="s">
        <v>59</v>
      </c>
    </row>
    <row r="9" spans="1:12">
      <c r="H9" t="s">
        <v>65</v>
      </c>
    </row>
    <row r="10" spans="1:12">
      <c r="H10" t="s">
        <v>26</v>
      </c>
      <c r="I10" s="1" t="s">
        <v>66</v>
      </c>
      <c r="J10" s="1" t="s">
        <v>67</v>
      </c>
      <c r="K10" s="1" t="s">
        <v>68</v>
      </c>
      <c r="L10" s="1" t="s">
        <v>59</v>
      </c>
    </row>
  </sheetData>
  <conditionalFormatting sqref="B2:B3">
    <cfRule type="dataBar" priority="1">
      <dataBar>
        <cfvo type="min" val="0"/>
        <cfvo type="max" val="0"/>
        <color rgb="FF638EC6"/>
      </dataBar>
    </cfRule>
  </conditionalFormatting>
  <conditionalFormatting sqref="B6:D7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10:I1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3">
    <cfRule type="dataBar" priority="2">
      <dataBar>
        <cfvo type="min" val="0"/>
        <cfvo type="max" val="0"/>
        <color rgb="FF638EC6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Config</vt:lpstr>
      <vt:lpstr>Derived</vt:lpstr>
      <vt:lpstr>Pivots</vt:lpstr>
      <vt:lpstr>CoreMHz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2025-11-14T20:11:21Z</dcterms:created>
  <dcterms:modified xsi:type="dcterms:W3CDTF">2025-11-14T20:11:21Z</dcterms:modified>
</cp:coreProperties>
</file>